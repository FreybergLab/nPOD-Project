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thor\Desktop\nPod results\"/>
    </mc:Choice>
  </mc:AlternateContent>
  <xr:revisionPtr revIDLastSave="0" documentId="13_ncr:1_{33463983-86D3-4163-A0D9-7CA40A07DE67}" xr6:coauthVersionLast="47" xr6:coauthVersionMax="47" xr10:uidLastSave="{00000000-0000-0000-0000-000000000000}"/>
  <bookViews>
    <workbookView xWindow="74835" yWindow="2610" windowWidth="29685" windowHeight="19020" activeTab="1" xr2:uid="{99F6F088-AD06-D045-AEA2-254228F7D371}"/>
  </bookViews>
  <sheets>
    <sheet name="All Donors" sheetId="1" r:id="rId1"/>
    <sheet name="ND Donors" sheetId="2" r:id="rId2"/>
    <sheet name="T1D Donors" sheetId="3" r:id="rId3"/>
  </sheets>
  <definedNames>
    <definedName name="_xlnm._FilterDatabase" localSheetId="0" hidden="1">'All Donors'!$A$2:$R$108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<sst xmlns="http://schemas.openxmlformats.org/spreadsheetml/2006/main" count="2227" uniqueCount="531">
  <si>
    <t>CaseID</t>
  </si>
  <si>
    <t xml:space="preserve">AutoAb (RIA) </t>
  </si>
  <si>
    <t>Age (yrs)</t>
  </si>
  <si>
    <t>Gest. Age (wks)</t>
  </si>
  <si>
    <t>Diabetes Duration (yrs)</t>
  </si>
  <si>
    <t>Gender</t>
  </si>
  <si>
    <t>Ethnicity</t>
  </si>
  <si>
    <t>C-pep(ng/ml)</t>
  </si>
  <si>
    <t>HbA1c</t>
  </si>
  <si>
    <t>BMI</t>
  </si>
  <si>
    <t>Clinical History</t>
  </si>
  <si>
    <t>Histopathology</t>
  </si>
  <si>
    <t>Supplemental Notes</t>
  </si>
  <si>
    <t>HiRes HLA</t>
  </si>
  <si>
    <t>Transplant HLA</t>
  </si>
  <si>
    <t>Cause of Death</t>
  </si>
  <si>
    <t>Tissue Recovery</t>
  </si>
  <si>
    <t>Negative</t>
  </si>
  <si>
    <t>Male</t>
  </si>
  <si>
    <t>Caucasian</t>
  </si>
  <si>
    <t>Donor had a clinical history of anxiety and depression, treated with medication. He sought treatment at an urgent care facility for a mental health concern 6 weeks before hospital admission. He was diagnosed with high cholesterol 6 weeks before admission, no medication prescribed, advised to change diet. Donor had a surgical history of wiring/repair of a broken jaw 4 years before admission.                                                      Donor had a family history of diabetes – mother and sister.</t>
  </si>
  <si>
    <t xml:space="preserve">Ins+/Gluc+ islets, mostly small to medium sized with spherical morphologies and slightly reduced in numbers. Region of PanHead with multiple islet ductal units. Multiple small branch-duct foci of fibrosis and PanIN, benign, with mild CD3+ infiltrates and variable low intralobular fat. Four Ki67+-stained slides show high, diffuse acinar cell Ki67+ cell numbers. Mild arteriosclerosis. Autolysis, patchy, &lt;5%.
</t>
  </si>
  <si>
    <t>Negative for SARS-CoV-2 PCR testing from nasopharyngeal swab x2. Negative for SARS-CoV-2 rapid antigen testing from nasopharyngeal swab.</t>
  </si>
  <si>
    <t>A*01/03, B*07/57, DR*07/15, DQ*09/06</t>
  </si>
  <si>
    <t>Anoxia</t>
  </si>
  <si>
    <t>Organ Donor</t>
  </si>
  <si>
    <t>Female</t>
  </si>
  <si>
    <t>Donor had a clinical history significant for severe headache/migraines. Donor had no known surgical or family history.</t>
  </si>
  <si>
    <t>Ins+/Gluc+ islets, numerous in wide range of sizes with mostly spherical morphologies. Diffuse mild exocrine CD3+ infiltrates along fascial planes and perivascular, focally moderately high. Very mild interlobular fat. Two foci of interstitial fibrosis with ductal dysplasia (benign).</t>
  </si>
  <si>
    <t>Negative for SARS-CoV-2 PCR testing from nasopharyngeal swab x3 and bronchoalveolar lavage x2.</t>
  </si>
  <si>
    <t>A*31:01,32:01 B*44:02,58:01 C*05:01,07:18 DRB1*03:01,04:04 DQA1*05:01,03:01 DQB1*02:01,03:02 DPA1*01:03,02:01 DPB1*04:01,09:01</t>
  </si>
  <si>
    <t>A*31/32, B*44/58, DR*17/04, DQ*02/08</t>
  </si>
  <si>
    <t>Head Trauma</t>
  </si>
  <si>
    <t>African American</t>
  </si>
  <si>
    <t>Donor had a clinical history of eczema, treated with medication. She had recently been to see her physician for a check-up 2 weeks before admission. Donor had no surgical history. Donor had a family history of coronary artery disease – grandmother.</t>
  </si>
  <si>
    <t>Ins+/Gluc+ islets, numerous with mostly spherical profiles. High acinar Ki67+ cell numbers. 6547-02 PT slice, accessory spleen.</t>
  </si>
  <si>
    <t>Negative for SARS-CoV-2 PCR testing from nasopharyngeal swab (x2) and bronchoalveolar lavage.</t>
  </si>
  <si>
    <t>A*01:01,03:01 B*08:01,15:17 C*07:01,07:18 DRB1*04:04,13:03 DQA1*03:01,05:05 DQB1*03:02,03:01 DPA1*01:03,01:03 DPB1*02:01,03:01</t>
  </si>
  <si>
    <t>A*01/03, B*08/63, DR*04/13, DQ*07/08</t>
  </si>
  <si>
    <t>Asian</t>
  </si>
  <si>
    <t>Donor had a clinical history significant for suicidal ideation. He experienced cold symptoms for a few days a few weeks before admission. He received his COVID-19 vaccination 2 months before admission. Donor had no known surgical or family history.</t>
  </si>
  <si>
    <t>ns+/Gluc+ islets, numerous with wide range of sizes and most spherical morphology. Numerous single beta- and alpha-cells. High islet endocrine Ki67+ cell numbers. Very mild, diffuse CD3+ exocrine infiltrates including peri-venous. Very mild, infrequent foci of autolysis, &lt;5%</t>
  </si>
  <si>
    <t>A*11:01,11:01 B*13:02,52:01 C*06:02,12:02 DRB1*07:01,14:04 DQA1*02:01,01:04 DQB1*02:02,05:03 DPA1*01:03,01:03 DPB1*04:01,04:01</t>
  </si>
  <si>
    <t>A*11/11, B*13/50, DR*07/14, DQ*02/05</t>
  </si>
  <si>
    <t>Donor had a recent clinical history of cough/congestion 2 weeks before admission, and was seen by his pediatrician. Donor had no previous surgical history. Donor had a family history of diabetes – mother and paternal grandmother.</t>
  </si>
  <si>
    <t>Ins+/Gluc+ islets, range of sizes including several &gt;500um, mostly spherical morphologies and in expected numbers per region. Very high islet Ki67+ with only slight increase in Ki67+ acinar cells.</t>
  </si>
  <si>
    <t>Negative for SARS-CoV-2 PCR testing from bronchoalveolar lavage. Donor was in the 93rd percentile for height/weight.</t>
  </si>
  <si>
    <t>A*32:01,68:01 B*18:01,18:01 C*05:01,07:01 DRB1*03:01,11:04 DQA1*05:01,05:05 DQB1*02:01,03:01 DPA1*01:03,02:02 DPB1*01:01,04:01</t>
  </si>
  <si>
    <t>A*32/68, B*18/18, DR*17/11, DQ*02/07</t>
  </si>
  <si>
    <t xml:space="preserve">Donor had no previous clinical or surgical history. Donor had a family history of diabetes - grandmother.
</t>
  </si>
  <si>
    <t>Ins+/Gluc+ islets, small to medium sized with oval morphologies and expected numbers per region. High numbers of Ki67+ acinar cells. Focal perilobular dense CD3+ cell accumulations (PH 02), benign, with widely scattered diffuse exocrine CD3+ cells.</t>
  </si>
  <si>
    <t>Negative for SARS-CoV-2 PCR testing from nasopharyngeal swab (x2) and bronchoalveolar lavage (x1).</t>
  </si>
  <si>
    <t>A*02:01,31:01 B*39:01,40:01 C*03:04,12:03 DRB1*01:01,04:07 DQA1*01:01,03:03 DQB1*05:01,03:01 DPA1*01:03,01:03 DPB1*04:01,04:01</t>
  </si>
  <si>
    <t>A*02/31, B*39/60, DR*01/04, DQ*07/05</t>
  </si>
  <si>
    <t>Hispanic</t>
  </si>
  <si>
    <t>N/A</t>
  </si>
  <si>
    <t>Cerebrovascular/Stroke</t>
  </si>
  <si>
    <t>Donor had history of eczema.</t>
  </si>
  <si>
    <t>Ins+/Gluc+ normal- excellent islet density. No inflammation or fatty infiltrates.</t>
  </si>
  <si>
    <t>Diabetes insipidus secondary to head trauma</t>
  </si>
  <si>
    <t>A*26:01/31:01 B*51:01/58:01 C*07:01/15:02 DRB1*04:07/13:02 DQA1*01:02/03:01 DQB1*03:01/05:01 DPA1*01:03/02:01 DPB1*03:01/13:01</t>
  </si>
  <si>
    <t>A*26/31, B*51/58, DR*04/13, DQ*05/07</t>
  </si>
  <si>
    <t>4 month old.</t>
  </si>
  <si>
    <t>Ins+/Gluc+ islets, normal. High Ki67 in acinar and moderate in islets. Very mild infiltrates per-acinar/capsular region.</t>
  </si>
  <si>
    <t>A*01:01/11:01 B*18:01/57:01 C*06:02/07:01 DRB1*07:01/07:01 DQA1*02:01/02:01 DQB1*02:01/03:03 DPA1*01:03/01:03 DPB1*02:01/04:01</t>
  </si>
  <si>
    <t>A*01/11, B*18/57, DR*07/-, DQ*02/09</t>
  </si>
  <si>
    <t>Multiracial</t>
  </si>
  <si>
    <t>5 month old.</t>
  </si>
  <si>
    <t>Ins+/Gluc+ islets. Increased acinar Ki67+.</t>
  </si>
  <si>
    <t>Plasma (not serum) available.</t>
  </si>
  <si>
    <t>A*11:01,68:02, DRB1*04:07,14:01, DQA1*01:01,03:01, DQB1*03:01,05:03</t>
  </si>
  <si>
    <t>A*11/68, B*51/53, DR*04/14, DQ*07/05</t>
  </si>
  <si>
    <t>No serum available</t>
  </si>
  <si>
    <t>Donor had history of seizure disorder, eczema and bloody/dark stools (treated via diet). Donor had family history of diabetes, Grandmother and great grandmother (type 2).</t>
  </si>
  <si>
    <t>Ins+/Gluc+ normal numbers and morphologies for age. Increased Ki67 acinar regions, some due to mild PMN infiltrates. Head region contains one small foci of mild CD3 infiltrates.</t>
  </si>
  <si>
    <t>A*01:01,01:01 DRB1*03:01,13:01 DQA1*01:03,05:01 DQB1*02:01,06:03</t>
  </si>
  <si>
    <t>A*01/- B*08/44 DR*13/17 DQ*02/06</t>
  </si>
  <si>
    <t>Donor had family history of diabetes, maternal great grandfather, and paternal grandmother, unknown Type.</t>
  </si>
  <si>
    <t>Ins+/Gluc+ islets, various sizes. High Ki67 islets and acinar cells. Head region composed of mostly small islets, high density. PLN in several blocks. No significant findings.</t>
  </si>
  <si>
    <t>A*01:01, 03:01, DRB1*07:01,15:01, DQA1*01:02,02:01, DQB1*03:03,06:02</t>
  </si>
  <si>
    <t>A*01/03 B*07/57 DR*07/15 DQ*06/09</t>
  </si>
  <si>
    <t>Donor had family history of diabetes (maternal grandmother), unknown type and duration.</t>
  </si>
  <si>
    <t>Ins+/Gluc+, normal morphologies and density of single cells to islets. Occasional islet with high Ki67+, low acinar Ki67+ cell numbers for infant. No CD3+ infiltrates observed. No autolysis or inter-/intralobular fat.</t>
  </si>
  <si>
    <t>A*02:01, 02:01 DRB1*01:02,01:02 DQA1*01:01,01:01 DQB1*05:01,05:01</t>
  </si>
  <si>
    <t>A*02/- B*40/42 DR*01/- DQ*05/-</t>
  </si>
  <si>
    <t>Perinatal Condition/Birth Defect</t>
  </si>
  <si>
    <t>The donor had no clinical history and a family history of diabetes (maternal great-grandmother) and brain cancer (maternal grandmother).</t>
  </si>
  <si>
    <t>Ins+/Gluc+ islets, normal range of sizes and morphologies. Very mild focal islet hyperplasia ventral lobe. Acinar Ki67+ cell numbers mild with very Ki67+ islets for donor age.</t>
  </si>
  <si>
    <t>A*01:01,02:01 DRB1*07:01,13:02 DQA1*01:02,02:01 DQB1*02:02,06:04</t>
  </si>
  <si>
    <t>A*01/02 B*72/58 DR*07/13 DQ*02/06</t>
  </si>
  <si>
    <t>The donor had no clinical history.</t>
  </si>
  <si>
    <t>Ins+/Glu+ islets, expected range numbers and morphologies. Mild focal islet hyperplasia in tail region. Mild, multifocal Ki67+ duct epithelium and acinar cells (tail). Mild multiple hemorrhages duodenum and pancreas mesentery and peripancreatic fat. Very mild interlobular and acinar CD3+ infiltrates.</t>
  </si>
  <si>
    <t>Donor was under a massive transfusion protocol.</t>
  </si>
  <si>
    <t>A*02:01,29:02 DRB1*04:01,07:01 DQA1*02:01,03:01 DQB1*02:02,03:01</t>
  </si>
  <si>
    <t>A*02/29 B*44/63 DR*04/07 DQ*02/07</t>
  </si>
  <si>
    <t>The donor had a clinical history of asthma diagnosed at age 3.</t>
  </si>
  <si>
    <t>Ins+/Gluc+ islets with normal numbers and morphologies including single cells in acinar regions and ducts. Mild increase in islet Ki67+ cells. Acinar Ki67 mild. Minimal exocrine infiltrates. Mild intralobular fibrosis, mild exocrine atrophy.</t>
  </si>
  <si>
    <t>A*02:01,24:02 DRB1*04:04,14:02 DQA1*03:01,05:01 DQB1*03:01,03:02</t>
  </si>
  <si>
    <t>A*02/24 B*27/48 DR*04/14 DQ*07/08</t>
  </si>
  <si>
    <t>The donor had a clinical history of depression and ADHD. He had no family clinical history.</t>
  </si>
  <si>
    <t>Ins+/Gluc+ islets, normal range of numbers for single cells, clusters and islets of all sizes including several moderate (250-450um). Ductal islet cells observed in several regions of pancreatic ducts in low numbers (PB 04A).</t>
  </si>
  <si>
    <t>A*24:02,33:03 B*39:06,50:01 DRB1*01:01,08:01 DQA1*01:01,04:01, DQB1*05:01,04:02</t>
  </si>
  <si>
    <t>A*24/33, B*39/50, DR*01/08, DQ*04/05</t>
  </si>
  <si>
    <t>Donor had a clinical history of seizure disorder, diagnosed 10 years prior to admission. He experienced seizures on and off for 1 year, was treated for 6 months with seizure medication, but stopped the medication once the seizures resolved. Also had a history of seizures during opiate withdrawals. He had a history of severe headache frequently throughout his adult life, thought to be related to dehydration. He also experienced edema in feet/lower legs from standing for long periods of time. He had a recent history of flu-like symptoms – fever and chills, vomiting, deep congested cough with wheezing, and severe uncontrolled watery diarrhea for 3-4 days before admission. He sought treatment 2 weeks prior to final admission, and was given Tamiflu and discharged. During terminal hospital admission, influenza A&amp;B rapid test was negative. Donor had a surgical history significant for facial surgery with metal plates from an MVA 10 years before admission, foot surgery that required screws 12 years prior to admission, and appendectomy (unknown when, not listed in history but was noted during abdominal CT). Donor had a family history of diabetes – great grandmother had T2D.</t>
  </si>
  <si>
    <t>Ins+/Gluc+ islets, normal range of sizes with sphereical morphologies and multifocal islet hyperplasia (PB, PT). Moderate islet hydropic degeneration. Moderate fatty replacement acinar cells with high intra/interlobular fat. PanIN, low grade.</t>
  </si>
  <si>
    <t>A*02:01,68:01 B*44:02,44:02 DRB1*13:01,15:01 DQA1*01:03,01:02 DQB1*06:03,06:02</t>
  </si>
  <si>
    <t>A*02/68, B*44/--, DR*13/15, DQ*06/--</t>
  </si>
  <si>
    <t>Donor had a clinical history significant for asthma, diagnosed at age 2-3 when she had her first asthma attack. Treated with albuterol inhaler. She had a recent asthma attack 3 months before admission – treated with prednisone for 5 days. Donor had no previous surgical history and no documented family history.</t>
  </si>
  <si>
    <t>Ins+/Gluc+, normal range of sizes and density with numerous small islets in subset of lobules of body and tail blocks. No significant lesions.</t>
  </si>
  <si>
    <t>Extracted RNA from donor tissue SARS-CoV-2 negative by PCR.</t>
  </si>
  <si>
    <t>A*02:01,29:02 B*44:03,51:01 DRB1*07:01,11:01 DQA1*02:01,05:05 DQB1*02:02,03:01</t>
  </si>
  <si>
    <t>A*02/29, B*44/51, DR*07/11, DQ*02/07</t>
  </si>
  <si>
    <t>Donor had a clinical history of asthma, diagnosed at age 4-5, only experienced symptoms during allergy season. He also had a recent history of weight loss, 15-20lbs. lost 4 months before admission due to family stress. Donor had no previous surgical history. Donor had a family history of diabetes – mother, maternal great-grandfather, maternal great-uncle, paternal grandmother, and paternal great-grandmother. He also had a family history of coronary artery disease – maternal great-grandfather.</t>
  </si>
  <si>
    <t>Ins+/Gluc+ islets, normal range of sizes, numbers and shapes. No significant findings.</t>
  </si>
  <si>
    <t>Extracted RNA from donor tissue SARS-CoV-2 negative by PCR. Donor received multiple transfusions during hospital admission.</t>
  </si>
  <si>
    <t>A*26:01,68:01 B*44:02,51:01 DRB1*01:01,07:01 DQA1*01:01,02:01 DQB1*05:01,02:02</t>
  </si>
  <si>
    <t>A*26/68, B*44/51, DR*01/07, DQ*02/05</t>
  </si>
  <si>
    <t>Donor had a clinical history of tennis elbow pain with occasional numbness in her fingers. Recent history of swollen cervical lymph nodes. Donor had a surgical history significant for appendectomy and Lasix. Donor had no known family history.</t>
  </si>
  <si>
    <t>Ins+/Gluc+ islets, numerous with wide range of sizes including large, mostly spherical morphologies. Mild to moderate intralobular fat. Two small foci mild lobular fibrosis with mild loss acinar cells PT 02B and 04A.</t>
  </si>
  <si>
    <t>Negative for SARS-CoV-2 PCR testing from nasopharyngeal swab x2 and bronchoalveolar lavage.</t>
  </si>
  <si>
    <t>A*02/31, B*62/35, DR*04/10, DQ*08/05</t>
  </si>
  <si>
    <t>Donor had a clinical history of depression. She saw a physician for wheezing/not feeling well 4-5 months before admission, and went to urgent care 2 months before admission due to a peanut allergy. She had asthma as a child, but had reportedly grown out of it. Donor had no previous surgical history. Donor had a family history of diabetes on her mother’s side.</t>
  </si>
  <si>
    <t>Ins+/Gluc+ islets, normal range of islet sizes with regular morphologies and density. Mild increase numbers of Ki67+ acinar and islet cells.</t>
  </si>
  <si>
    <t>Negative for SARS-CoV-2 PCR testing from bronchoalveolar lavage. Donor was in the 79th percentile for height/weight.</t>
  </si>
  <si>
    <t>A*03:01,23:01 B*45:01,47:01 DRB1*03:01,04:05 DQA1*05:01,03:03 DQB1*02:01,03:02</t>
  </si>
  <si>
    <t>A*03/23, B*45/47, DR*04/17, DQ*02/08</t>
  </si>
  <si>
    <t>Other: Overdose</t>
  </si>
  <si>
    <t>Donor had no previous clinical or surgical history. Donor had a family history of diabetes.</t>
  </si>
  <si>
    <t>Ins+/Gluc+ islets, range of sizes with normal numbers and morphologies. No significant lesions observed.</t>
  </si>
  <si>
    <t>Negative for SARS-CoV-2 PCR testing from nasopharyngeal swab. Donor was in the 94th percentile for height/weight.</t>
  </si>
  <si>
    <t>A*02:01,32:01 B*08:01,18:01 DRB1*03:01,11:01 DQA1*05:01,05:01 DQB1*02:01,03:01</t>
  </si>
  <si>
    <t xml:space="preserve">
A*02/32, B*08/18, DR*17/11, DQ*02/07</t>
  </si>
  <si>
    <t>Donor had a clinical history significant for recent childbirth 10 months before admission. Donor had no previous surgical history. Donor had no known family history.</t>
  </si>
  <si>
    <t>Ins+/Gluc+ islets, numerous with wide range of sizes and proportions of beta-cells to alpha-cells with larger islets having greater numbers of alpha-cells. Intralobular fatty infiltration, widely variable, moderate. Microadenoma, block 02B PB, 925um longest dimension, consisting primarily of glucagon-positive cells with few beta-cells and delta-cells; well-differentiated and encapsulated, low Ki67+ cell numbers.</t>
  </si>
  <si>
    <t>Negative for SARS-CoV-2 PCR testing from nasopharyngeal swab.</t>
  </si>
  <si>
    <t>A*03:01,03:01 B*07:02,51:08 DRB1*11:01,13:01 DQA1*05:05,01:03 DQB1*03:01,06:03</t>
  </si>
  <si>
    <t>A*03/--, B*07/51, DR*11/13, DQ*06/07</t>
  </si>
  <si>
    <t>Donor had a clinical history of Cornelia de Lange syndrome. He was nonverbal with autism spectrum disorder, anxiety, obsessive-compulsive disorder (OCD), and severe intellectual disabilities. He experienced cortical visual impairment, keratitis (left eye), dry eyes, cellulitis, twitching, left wrist drop, and olecranon bursitis of the left elbow. Also had esophagitis, constipation, and gastroesophageal reflux disease (GERD). He had a recent history of COVID-19 vaccination (both doses), and saw his primary care physician for a well check during the month before admission. Donor had a surgical history of bilateral cataract surgery (unknown when), hip replacement x2 (unknown when), as well as multiple other surgeries that family was unable to provide information on. Donor had a family history of diabetes – maternal uncle.</t>
  </si>
  <si>
    <t>Ins+/Gluc+ islets, reduced density in most regions due to fewer numbers and small sizes with rare large islets. Most islets irregular profiles rather than normal spherical shapes. Abnormal myenteric plexi with reduced numbers and sizes of neurons and increased amorphous ECM.</t>
  </si>
  <si>
    <t>Negative (x2) for SARS-CoV-2 PCR testing.</t>
  </si>
  <si>
    <t>A*01:01,03:01 B*07:02,08:01 C*07:01,07:02 DRB1*03:01,04:08 DQA1*05:01,03:03 DQB1*02:01,03:02 DPA1*01:03,01:03 DPB1*03:01,04:01 Courtesy of Dr. Nakayama</t>
  </si>
  <si>
    <t>A*01/03, B*07/08, DR*17/04, DQ*02/08</t>
  </si>
  <si>
    <t>Donor had a clinical history of anxiety and post-traumatic stress disorder (PTSD) with a 3-week stay in a mental institution 5 years before admission. Also had a history of scarlet fever, broken shoulder, and a recent dog bite. Donor had no previous surgical history. Donor had a family history of diabetes – maternal grandmother.</t>
  </si>
  <si>
    <t>Ins+/Gluc+ islets, moderate numbers with mostly small to medium sizes and slightly irregular profiles. Moderate increase islet Ki67+ cell numbers. Lobular fibrosis, multifocal, mild with PanIN and ductal islet units. Autolysis, 5%.</t>
  </si>
  <si>
    <t>A*02:01,30:02 B*35:01,40:01 C*03:04,07:18 DRB1*04:01,04:04 DQA1*03:03,03:01 DQB1*03:02,03:02 DPA1*01:03,02:01 DPB1*02:01,17:01</t>
  </si>
  <si>
    <t>A*02/30, B*35/60, DR*04/04, DQ*08/--</t>
  </si>
  <si>
    <t>Blank</t>
  </si>
  <si>
    <t>No documentation</t>
  </si>
  <si>
    <t>Ins+/Gluc+ islets, plentiful. Very mild, focal acinar atrophy.</t>
  </si>
  <si>
    <t>A* 25:01, 68:02 DRB1* 13:03 , 16:02 DQA1* 01:02 , 05:01
DQB1* 03:01...</t>
  </si>
  <si>
    <t>A*25/68, B*57/58, DR*13/16, DQ*07/05</t>
  </si>
  <si>
    <t>Donor had history of polycystic ovary syndrome</t>
  </si>
  <si>
    <t>Ins+/Gluc+ normal islets. Low Ki67. No infiltrates</t>
  </si>
  <si>
    <t>A*02:01 , 24:02 DRB1*04:01 , 15:01 DQA1*01:02 , 03:01 DQB1*03:01 , 06:02</t>
  </si>
  <si>
    <t>A*02/24, B*27/44, DR*04/15, DQ*06/03</t>
  </si>
  <si>
    <t>Donor had history of learning disabilities, ADHD, and fetal alcohol syndrome.</t>
  </si>
  <si>
    <t>Ins+/Gluc+ islets, normal range of sizes, morphologies and density. Very high acinar Ki67. No other significant abnormalities observed.</t>
  </si>
  <si>
    <t>A*02:01, 24:02 DRB*03:01, 04:04 DQA1*03:01, 05:01 DQB1*02:01, 03:02</t>
  </si>
  <si>
    <t>A*02/24, B*15/27, DR*03/04, DQ*02/08</t>
  </si>
  <si>
    <t>Donor had history of Bipolar Disorder.</t>
  </si>
  <si>
    <t>Ins+/Gluc+ islets. No abnormalities observed. Low Ki67 all compartments.</t>
  </si>
  <si>
    <t>A*02:01, 11:01 DRB1*11:01, 15:01 DQA1*01:02, 05:01 DQB1*03:01, 06:02</t>
  </si>
  <si>
    <t>A*02/11, B*13/44, DR*11/15, DQ*07/06</t>
  </si>
  <si>
    <t>The donor had a previous history of admission to psychiatric hospital for 1 week due to stress. She had a family history of diabetes (Type 2, sister and great aunt).</t>
  </si>
  <si>
    <t>Ins+/Gluc+ islets, within normal range of numbers, sizes, and morphologies. Variable high islet and ductal epithelium Ki67+ cells. Low grade PanIN (PanHead) with other ducts having mild squamous metaplasia or metaplasia. Low intralobular and interlobular fat.</t>
  </si>
  <si>
    <t>A*31:01,33:03 B*14:02,51:01 DRB1*07:01,13:01 DQA1*02:01,01:03 DQB1*02:02,06:03</t>
  </si>
  <si>
    <t>A*31/33, B*14/51, DR*07/13, DQ*02/06</t>
  </si>
  <si>
    <t>The donor had a clinical history of dextrocardia, congenitally corrected transposition of the great arteries, pulmonary valve stenosis with ventricular septal defect repair, and surgical removal of cataracts in both eyes. Two months prior to admission the donor had cold symptoms treated with amoxicillin for 1 week. The donor had no family medical history.</t>
  </si>
  <si>
    <t>Ins+/Gluc+ islets, range of sizes including several large (400um) and with irregular outline or elongated. Islet Ki67+ cell numbers high in both endocrine and nonendocrine compartments. Acinar Ki67+ cell numbers variable from low to moderate.</t>
  </si>
  <si>
    <t>Serum not hemodiluted; however, donor received significant number of transfusions.</t>
  </si>
  <si>
    <t>A*01:01,02:01 B*57:01,57:01 DRB1*07:01,07:01 DQA1*02:01,02:01 DQB1*03:03,03:03</t>
  </si>
  <si>
    <t>A*01/02 B*57/57 DR*07/07 DQ*09/09</t>
  </si>
  <si>
    <t>The donor had no previous clinical or family history.</t>
  </si>
  <si>
    <t>Ins+/Gluc+ islets, numerous with normal range of sizes and density. PanHead has mononuclear infiltrates primarily associated with interlobular ducts but also intra-acinar foci that include islets. No insulin-negative islets observed. Focal variably high acinar Ki67+ cells in infiltrated lobules.</t>
  </si>
  <si>
    <t>A*01:01,02:01 B*08:01,51:01 DRB1*01:01,03:01 DQA1*01:01,05:01 DQB1*05:01,02:01</t>
  </si>
  <si>
    <t>A*01/02 B*08/51 DR*01/17 DQ*02/05</t>
  </si>
  <si>
    <t>The donor had a history of asthma. He had no family clinical history.</t>
  </si>
  <si>
    <t>Ins+/Gluc+ islets range of normal sizes, numbers and morphologies. Acinar and islet Ki67+ cell numbers low (0-2) to occasional low-moderate (3-10).</t>
  </si>
  <si>
    <t>A*23:01,33:03 B*44:10,53:01 DRB1*03:01,07:01 DQA1*05:01,02:01 DQB1*02:01,02:02</t>
  </si>
  <si>
    <t>A*23/33 B*44/53 DR*17/07 DQ*02/-</t>
  </si>
  <si>
    <t>The donor had a history of respiratory infections. He had a previous history of asthma but has been asymptomatic for 3 years. He had a surgical history of tonsillectomy, adenoidectomy, and myringotomy. The donor had no family clinical history.</t>
  </si>
  <si>
    <t>Ins+/Gluc+ islets, highly variable numbers, sizes (including &gt;700um), and morphologies (oval to diffuse spreading). Focal lobular fibrosis with acinar ductal metaplasia, ductal islet units, and low grade PanIN. Variably moderate islet and acinar cell Ki67+ numbers. Variable exocrine fat infiltration. PanHead islet hyperplasia and hypertrophy. Mixed exocrine and perivascular infiltrates including high numbers of eosinophils (PanTail). Several islets with eosinophils at periphery (snapshot). Pleomorphic islet nuclear sizes.</t>
  </si>
  <si>
    <t>A*01:01,11:01 B*07:02,37:01 DRB1*04:01,15:01 DQA1*03:01,01:02 DQB1*03:02,06:02</t>
  </si>
  <si>
    <t>A*01/11 B*07/37 DR*04/15 DQ*08/06</t>
  </si>
  <si>
    <t>Infectious Disease - Bacterial Meningitis</t>
  </si>
  <si>
    <t>Donor had a history of drug use. She had a recent history of respiratory infection and sexually transmitted infection. She had a family history of diabetes (mother and father).</t>
  </si>
  <si>
    <t>Ins+/Gluc+ islets, wide range of densities, sizes and numbers including many single cells, clusters, small islets to several islets &gt;500um. Variable numbers of Ki67+ cells within islets and low numbers in exocrine regions.</t>
  </si>
  <si>
    <t>Serum was not hemodiluted, however the donor received significant transfusions.</t>
  </si>
  <si>
    <t>A*25:01,31:01 B*18:01,40:01 DRB1*15:01,15:01 DQA1*01:02,01:02 DQB1*06:02,06:02</t>
  </si>
  <si>
    <t>A*25/31 B*18/60 DR*15/- DQ*-/-</t>
  </si>
  <si>
    <t>The donor had a previous clinical history of post traumatic stress disorder and psychiatric disturbances. He had no family clinical history.</t>
  </si>
  <si>
    <t>Ins+/Gluc+ islets, entire range of normal sizes, numbers, and morphologies including numerous single cells in exocrine regions and occasional duct.</t>
  </si>
  <si>
    <t>A*02:01,03:01 B*07:02,41:02 DRB1*01:01,11:04 DQA1*01:01,05:05 DQB1*05:01,03:01</t>
  </si>
  <si>
    <t>A*02/03 B*07/41 DR*01/11 DQ*07/05</t>
  </si>
  <si>
    <t>The donor had a recent clinical history of an abscessed tooth and low grade fever. She had a surgical history of four C-sections, tendon repair in knee, and cholecystectomy. A physician told donor that she may have thyroid issue, but no diagnosis made. She had no family clinical history.</t>
  </si>
  <si>
    <t>Ins+/Gluc+ islets, range of normal sizes, numbers, and morphologies. Variable fatty infiltration exocrine and interlobular regions. Chronic pancreatitis with multi-focal mild interstitial and periductal fibrosis, squamous metaplasia duct epithelium, and low grade. Duct plugging intralobular duct (PanHead). PanIN. Mild arteriosclerosis.</t>
  </si>
  <si>
    <t>A*01:01,02:01 B*08:01,44:02 DRB1*03:01,15:01 DQA1*05:01,01:02 DQB1*02:01,06:02</t>
  </si>
  <si>
    <t>A*01/02, B*08/44, DR*15/17, DQ*02/06</t>
  </si>
  <si>
    <t>Donor was last seen by doctor 3 months prior for a cold and ear infection. Donor monitored after birth due to maternal gestational diabetes, but received no treatment.</t>
  </si>
  <si>
    <t>Ins+/Gluc+ islets, wide range of sizes from small to large (250-500um) and morphologies (compact spheres to angular). Lower Ki67 than expected for age. Other tissues within normal ranges.</t>
  </si>
  <si>
    <t>A*01:01,11:01 B*08:01,40:01 DRB1*03:01,04:04 DQA1*05:01,03:01 DQB1*02:01,03:02</t>
  </si>
  <si>
    <t>A*01/11, B*08/60, DR*17/04, DQ*02/08</t>
  </si>
  <si>
    <t>Donor was diagnosed with Lyme disease one year prior to admission. Donor was experiencing elbow swelling and was given one course of antibiotics for treatment. Donor born with heart murmur, but the murmur resolved on its own by age 3.</t>
  </si>
  <si>
    <t>Ins+/Gluc+ islets, normal range of sizes and morphologies. Variable Ki67+ within acinar and islet cells, slight to mild increase. Other tissues within normal limits other than focal mild RBC stasis or hemorrhage (duodenum, PanBody 3C OCT).</t>
  </si>
  <si>
    <t>Hemodilution was noted because of IV fluids given due to internal bleeding. Islet isolation case, processed in Pittsburgh.</t>
  </si>
  <si>
    <t>A*29:02,32:01 B*35:02,57:01 C*04:01,06:38 DRB1*07:01,07:01 DQA1*02:01,02:01 DQB1*02:02,02:02 DPA1*01:03,01:03 DPB1*03:01,04:01</t>
  </si>
  <si>
    <t>A*29/32, B*35/57, DR*07/- , DQ*2/-</t>
  </si>
  <si>
    <t>Donor had a previous clinical history of schizophrenia, hypertension, and severe migraines. He was reportedly non-compliant with medications. Donor had a history of tibial plateau fracture with titanium plate inserted. He also had a history of poly-substance abuse. The donor had a family history of diabetes (maternal grandparents, maternal uncle) and coronary artery disease (paternal and maternal grandfathers, paternal uncle).</t>
  </si>
  <si>
    <t>Ins+/Gluc+ islets, wide range sizes and morphologies. 6 or more islets with &gt;5 CD3+ cells periphery or interior however no insulin-negative islets observed to date. Diffuse mild CD3+ infiltrates acinar regions. Variable interlobular adipose tissue.</t>
  </si>
  <si>
    <t>A*01:01,26:01 B*08:09,38:01 DRB1*13:02,14:01 DQA1*01:02,01:01 DQB1*06:04,05:03</t>
  </si>
  <si>
    <t>A*01/26, B*08/38, DR*13/14, DQ*05/06</t>
  </si>
  <si>
    <t>The donor had a clinical history of seasonal asthma. He had no family clinical history.</t>
  </si>
  <si>
    <t>Ins+/Gluc+ islets, range normal sizes including several &gt;500um. Ins+ clusters and single cells. Multiple regions within several blocks showing neogenesis- high numbers of Ki67+ foci in ducts along with endocrine cells (PB-02A, PT-02).</t>
  </si>
  <si>
    <t>A*02:05,33:03 B*49:01,57:01 DRB1*01:02,04:02 DQA1*01:01,03:01 DQB1*05:01,03:02</t>
  </si>
  <si>
    <t>A*02/33, B*49/57, DR*01/04, DQ*08/05</t>
  </si>
  <si>
    <t>Respiratory Distress/Failure</t>
  </si>
  <si>
    <t>The donor had no clinical history. He had a family history of diabetes (mother).</t>
  </si>
  <si>
    <t>Ins+/GCG+ islets varying in sizes including hyperplastic (&gt;400um) with numerous single cells and clusters. Highly variable islet Ki67+ cell numbers, mostly low (normal). Mild, multifocal chronic inflammation with fibrosis, acinar ductal metaplasia, PanIN, and ductal islet units containing primarily alpha-cells.</t>
  </si>
  <si>
    <t>A*02:01,02:01 B*35:01,35:01 DRB1*03:02,08:04 DQA1*04:01,04:01 DQB1*04:02,03:19</t>
  </si>
  <si>
    <t>A*02/02, B*35/35, DR*08/18, DQ*04/07</t>
  </si>
  <si>
    <t>The donor had a history of depression, anxiety, and previous suicide attempt. She was legally blind in her right eye due to a neurological problem. She had no family clinical history.</t>
  </si>
  <si>
    <t>Ins+/Gluc+ islets, normal range of sizes and morphologies. Most of WBC (pooled within vessels) have high Ki67+ as well as high Ki67+ islets and exocrine cells. Moderate interlobular fibrosis creating clear demarcation of lobules.</t>
  </si>
  <si>
    <t>A*02:01,33:01 B*14:02,15:01 DRB1*01:02,13:01 DQA1*01:01,01:03 DQB1*05:01,06:03</t>
  </si>
  <si>
    <t>A*02/33, B*65/62, DR*01/13, DQ*05/06</t>
  </si>
  <si>
    <t>The donor had no previous clinical history and a surgical history of tonsillectomy. He had a family history of diabetes (maternal aunt and grandmother).</t>
  </si>
  <si>
    <t>Ins+/Gluc+ islets, range of normal sizes and morphologies. Global mild increase polymorphonuclear and mononuclear (CD3+) perivascular infiltrates, intra- and inter-lobular. Mild lobulocentric atrophy and mild ductal dysplasia (PT 02B).</t>
  </si>
  <si>
    <t>A*02:06,03:01 B*07:02,44:02 DRB1*03:01,13:01 DQA1*05:01,01:03 DQB1*02:01,06:03</t>
  </si>
  <si>
    <t>A*02/03, B*07/44, DR*13/17, DQ*02/06</t>
  </si>
  <si>
    <t>The donor had a previous clinical history of concussion and pneumonia. He had a family history of Type 1 diabetes (mother, maternal grandfather, maternal cousin) and coronary artery disease (paternal grandfather and father).</t>
  </si>
  <si>
    <t>Ins+/Gluc+ islets, normal range of morphologies and density, along with single endocrine cells and clusters. Several large islets (&gt;500um). Mild increase Ki67 islets and exocrine regions. No significant lesions observed.</t>
  </si>
  <si>
    <t>A*26:01,30:01 B*38:01,51:01 DRB1*11:01,11:01 DQA1*05:05,05:05 DQB1*03:01,03:01</t>
  </si>
  <si>
    <t>A*26/30, B*38/51, DR*11/-, DQ*07/-</t>
  </si>
  <si>
    <t>Donor was born at 34 weeks with ancencephaly. The donor's mother had a history of hypertension and asthma.</t>
  </si>
  <si>
    <t>Ins+/Gluc+ islets, normal range sizes and density with beta-cells central and mantle zone of alpha-cells expected for neonatal pancreas. Single beta-cells in higher numbers than alpha-cells. High acinar and islet Ki67+ cell numbers. Mild variable CD3+ intralobular and interlobular foci.</t>
  </si>
  <si>
    <t>Warm ischemic time 135 minutes.</t>
  </si>
  <si>
    <t>A*-/- B*-/- DR*-/- DQ*-/-</t>
  </si>
  <si>
    <t>The donor had a history of possible weight loss from dieting and pills. History of migraines and essential tremors since birth. Extensive history of drug use including intravenous. She had dental issues including crown abscess and wisdom teeth removed. She had a surgical history of appendectomy.</t>
  </si>
  <si>
    <t>Ins+/Gluc+ islets, normal range sizes, morphologies, and density. Very mild, multifocal CD3+ perivascular, periductal, and acinar infiltrates with mild global lobular fibrosis. Interlobular fat- mild increase.</t>
  </si>
  <si>
    <t>A*24:02,24:03 B*49:01,55:01 DRB1*01:01,14:01 DQA1*01:01,01:01 DQB1*05:01,05:03</t>
  </si>
  <si>
    <t>A*24/24, B*49/55, DR*01/14, DQ*05/05</t>
  </si>
  <si>
    <t>Donor had a clinical history of drug use and family history of coronary artery disease (maternal grandparents).</t>
  </si>
  <si>
    <t>Ins+/Gluc+ islets, wide range sizes, including very small to clusters, large islets (&gt;500um) with predominance of alpha-cells and diffuse spreading. Mild islet fibrosis. Mild variable fat infiltration lobules. Slight autolysis (&lt;20%).</t>
  </si>
  <si>
    <t>A*02:05,33:03 B*18:01,58:01 DRB1*07:01,11:01 DQA1*02:01,01:02 DQB1*03:03,06:02</t>
  </si>
  <si>
    <t>A*02/33, B*18/58, DR*07/11, DQ*09/06</t>
  </si>
  <si>
    <t>Donor had surgical history of pins and rods placement for broken arm. Family history significant for maternal grandmother with diabetes, maternal grandfather with sarcoma and coronary artery disease treated with bypass surgery. Donor’s father had a history of high cholesterol and high blood pressure.</t>
  </si>
  <si>
    <t>Ins+/Gluc+ islets, multiple sizes and morphologies including islet hypertrophy (&gt;500um) and numbers (hyperplasia). Mild diffuse exocrine and periductal CD3+ infiltrates. Moderate fatty infiltration interlobular regions. Multiple small foci interstitial fibrosis with ductal metaplasia and islet neogenesis (ductal islet units).</t>
  </si>
  <si>
    <t>A*24/24, B*07/72, DR*07/07, DQ*02/02</t>
  </si>
  <si>
    <t>Donor was delivered via emergency cesarean section at 39 weeks gestation following cord prolapse. Mother had positive TB skin test 12 years prior to delivery with follow-up sputum and chest x-rays all negative.</t>
  </si>
  <si>
    <t>Ins+/Gluc+ islets, varied sizes including single cells to clusters, high numbers, and majority with spherical morphologies. Islet density near central portions of lobules. High acinar and endocrine Ki67+ cell numbers. More irregular sizes (&gt;400um) and morphologies including several glucagon-predominant larger islets in body and tail.</t>
  </si>
  <si>
    <t>A*02:01,02:01 B*07:02,27:05 DRB1*01:03,13:02 DQA1*05:05,01:02 DQB1*03:01,06:04</t>
  </si>
  <si>
    <t>A*02/02, B*07/27, DR*103/13, DQ*07/06</t>
  </si>
  <si>
    <t>5,5</t>
  </si>
  <si>
    <t>Donor had a recent clinical history of spider bite. No surgical or family history.</t>
  </si>
  <si>
    <t>Ins+/Gluc+ islets, mostly small to medium with regular morphology. Rare possible Ins- islet and small islets or clusters of alpha cells. No significant lesions observed.</t>
  </si>
  <si>
    <t>Donor was hemodiluted. Hospital CT results suggest pre-existing superior mesenteric artery syndrome.</t>
  </si>
  <si>
    <t>A*02:01,03:01 B*18:01,51:01 DRB1*04:01,11:04 DQA1*03:01,05:05 DQB1*03:02,03:01</t>
  </si>
  <si>
    <t>A*02/03, B*18/51, DR*04/11, DQ*08/07</t>
  </si>
  <si>
    <t>Donor had a clinical history of early-onset infantile epileptic encephalopathy (neonatal onset refractory seizures), spastic and dystonic quadriplegic cerebral palsy, movement disorder agitation, intellectual disability, microcephaly, severe obstructive sleep apnea, constipation, swallowing dysfunction, sialorrhea, recurrent aspiration restrictive lung disease, precocious puberty, hypothyroidism, cortical visual impairment, and was wheelchair-bound and non-ambulatory. Surgical history significant for gastrostomy tube placement at 6 months old. Family history of diabetes, maternal grandmother and grandfather.</t>
  </si>
  <si>
    <t>Ins+/Gluc+ islets, numerous small to medium sized islets with rare large islet, spherical morphologies. Diffuse very high acinar Ki67+ cell numbers. Very mild patchy acinar fatty infiltrate.</t>
  </si>
  <si>
    <t>A*02:01,25:01 B*18:01,40:01 DRB1*01:01,15:01 DQA1*01:01,01:02 DQB1*05:01,06:02</t>
  </si>
  <si>
    <t>A*02/25, B*18/60, DR*01/15, DQ*05/06</t>
  </si>
  <si>
    <t>Donor had a recent clinical history of groin skin rash/infection (was being treated with unknown antibiotic). Donor had no known family or surgical history.</t>
  </si>
  <si>
    <t>Ins+/Gluc+ islets, expected range of sizes including many single cells and clusters, with mostly spherical morphologies and islet densities/region. High Ki67+ cell numbers for acinar and infiltrating white blood cells in exocrine regions. Few perivascular and perilobular CD3+ infiltrates.</t>
  </si>
  <si>
    <t>Abdominal CT showed thickening and edema of the gallbladder wall/pericholecystic soft tissues.</t>
  </si>
  <si>
    <t>A*01:02,02:01 B*35:01,58:01 DRB1*11:01,13:04 DQA1*05:05,05:05 DQB1*03:01,03:19</t>
  </si>
  <si>
    <t>A*01/02, B*35/58, DR*11/13, DQ*07/07</t>
  </si>
  <si>
    <t>Donor had recent history of diarrhea and stomach pain the week before admission. Donor had no known family history.</t>
  </si>
  <si>
    <t>Ins+/Gluc+ islets expected range of sizes, morphologies and densities with single beta-cells widely scattered.</t>
  </si>
  <si>
    <t>A*31:01,68:01 B*39:01,40:01 DRB1*08:01,14:01 DQA1*04:02,01:01 DQB1*04:02,05:03</t>
  </si>
  <si>
    <t>A*31/68, B*3901/60, DR*08/14, DQ*04/05</t>
  </si>
  <si>
    <t>Donor had a clinical history of refractory epilepsy - diagnosed at 8 years old, experienced daily tonic-clonic seizures. History of intellectual disability and rapid decline in mental ability over the 3 years prior to admission due to worsening seizures. Had difficulty walking due to spastic quadriplegia during the 2 years prior to admission, with lack of strength and progressive shrinkage of the cerebellum. Also had severe autism spectrum disorder (non-verbal), feeding difficulties with gastrostomy tube, diet-related eczema, and skin discoloration on feet/calves from not walking. Donor had a surgical history of gastrostomy tube placement, 5 years before admission, and again 2 months before admission. Donor had a family history of diabetes, mother’s side.</t>
  </si>
  <si>
    <t>Ins+/Gluc+ islets, normal range of sizes and morphologies with high density including numerous single and clusters of beta-cells. No significant abnormalities.</t>
  </si>
  <si>
    <t>o</t>
  </si>
  <si>
    <t>A*23:01,24:02 B*07:02,15:01 DRB1*08:01,13:01 DQA1*04:01,01:03 DQB1*04:02,06:03</t>
  </si>
  <si>
    <t>A*23/24, B*07/62, DR*08/13, DQ*04/06</t>
  </si>
  <si>
    <t>Donor had a clinical history of brain infection/left frontal lobe brain abscess secondary to intravenous drug use diagnosed 2 years prior to admission. He had a recent history of severe headache, seizure disorder, left leg cellulitis, anemia, and hypertension. Donor had a surgical history of ventriculostomy tube placement for brain abscess 2 years prior to admission. Donor’s father had diabetes.</t>
  </si>
  <si>
    <t>Ins+/Gluc+ islets, numerous with mostly ovoid morphologies. Numerous single beta cells and in clusters. Most regions have mild islet hyperplasia (1-5 islets/section with &gt;500um longest diameter). Ductal islet units in regions of dysplasia. Mild periductal fibrosis. Multiple regions have intralobular ducts with dilation, squamous metaplasia, inspissated contents or mild acinar ductal metaplasia. Mild atherosclerosis. Global mild fatty infiltration.</t>
  </si>
  <si>
    <t>A*01:01,01:01 B*44:03,57:01 DRB1*07:01,07:01 DQA1*02:01,02:01 DQB1*02:02,02:02</t>
  </si>
  <si>
    <t>A*01/01, B*44/57, DR*07/07, DQ*02/02</t>
  </si>
  <si>
    <t>Donor had a clinical history of chlamydia. Donor had no known surgical or family history.</t>
  </si>
  <si>
    <t>Ins+/Gluc+ islets, numerous sizes and shapes with several islets having greater proportion of alpha-cells than beta-cells. High islet Ki67 in some regions, particularly high alpha-cell ratio islets.</t>
  </si>
  <si>
    <t>A*11:01,30:01 B*07:02,42:01 DRB1*13:02,15:03 DQA1*01:02,01:02 DQB1*06:04,06:02</t>
  </si>
  <si>
    <t>A* 11/30, B*07/42, DR* 13/15, DQ* 06/06</t>
  </si>
  <si>
    <t>Donor had a clinical history of asthma, and recent history of fever associated with flu/pneumonia. He tested positive for tuberculosis (TB) when applying for a job, was diagnosed with latent TB infection – at the time his chest X-ray was within normal limits. He started a preventative 4 month course of medication 9 months before admission, and completed 3 of the 4 months. His last treatment was 6 months prior to terminal hospital visit. Quantiferon gold testing initiated during final admission came back non-reactive. Donor had no known surgical or family history.</t>
  </si>
  <si>
    <t>Ins+/Gluc+ islets, numerous medium to large (400-500 um) with widely scattered alpha cells in periphery of several islets. Scattered foci GCG+ cells acinar regions. Mild increase islet Ki67+ cell numbers (2-5/islet). Widely scattered, mild increase in CD3+ cells within acinar regions. Various other examples of normal endocrine populations including ductal islet units of all endocrine populations.</t>
  </si>
  <si>
    <t>A*03:01,30:02 B*07:02,07:02 DRB1*08:04,12:02 DQA1*01:02,04:01 DQB1*06:02,03:19</t>
  </si>
  <si>
    <t>A*03/30, B*07/07, DR*08/12, DQ*07/06</t>
  </si>
  <si>
    <t>Donor had a clinical history of asthma/chronic cough, diagnosed at birth. She also had a history of obesity, eczema (diagnosed at 6 months old), and wore corrective lenses. Family history of diabetes – grandmother and great-grandmother.</t>
  </si>
  <si>
    <t>Ins+/Gluc+ islets, normal range of densities, morphologies, and sizes. No significant abnormalities observed.</t>
  </si>
  <si>
    <t>Classified as T1D during terminal hospital admission.</t>
  </si>
  <si>
    <t>A*02:01,02:02 B*44:10,81:01 DRB1*03:02,13:02 DQA1*04:01,01:02 DQB1*04:02,06:09</t>
  </si>
  <si>
    <t>A*02/02, B*44/81, DR*18/13, DQ*04/06</t>
  </si>
  <si>
    <t>Donor had a history of untreated depression and attachment disorder. She had a recent history of miscarriage – discovered 3 weeks prior to admission that she was pregnant, and had a miscarriage shortly after. During that time, she had also experienced weight loss from reportedly not eating due to depression. Recent history of IUD pain, which she sought treatment for the night prior to admission. Donor had a family history of diabetes. She was adopted at age 4, but her family knew that her maternal “aunt or grandmother” had diabetes.</t>
  </si>
  <si>
    <t>Ins+/Gluc+ islets, normal range of sizes, morphologies and densities. Mild (head, body) to moderate lobular fatty infiltration.</t>
  </si>
  <si>
    <t>A*01:01,32:01 B*15:01,50:01 DRB1*04:04,13:01 DQA1*03:01,01:03 DQB1*03:02,06:03</t>
  </si>
  <si>
    <t>A*01/32 B*62/50 DR*04/13 DQ*08/06</t>
  </si>
  <si>
    <t>Donor had a recent history of cough and fever related to the flu. Donor had no previous surgical history and no known family history.</t>
  </si>
  <si>
    <t>Ins+/Gluc+ islet, normal range of sizes (915 um in PT), spherical morphology including elongated side views (cigar-shape), and densities. No significant lesions observed.</t>
  </si>
  <si>
    <t>A*03:01,11:01 B*38:01,50:01 DRB1*03:01,13:01 DQA1*05:01,01:03 DQB1*02:01,06:03</t>
  </si>
  <si>
    <t>A*03/11, B*38/50, DR*17/13, DQ*02/06</t>
  </si>
  <si>
    <t>Donor had a clinical history of hypertension for 6 years. He had a history of back pain, anxiety, smoker’s cough, night sweats, and frequent headache (believed to be related to tooth pain). He had fever blisters on his mouth one week before admission. Donor had a surgical history of splenectomy 2 years before admission. Donor had a family history of diabetes – his father had T2D. His father also had a bicuspid heart valve, potentially genetic – unknown if donor also had this.</t>
  </si>
  <si>
    <t>Ins+/Gluc+ islets, normal range of sizes, morphologies, and densities as well as numerous single endocrine cells. Slight islet fibrosis. Ventral lobe (extensive) occupying most of 04 PH blocks in addition to 02 PH blocks. Intralobular and interlobular adipose, variable, slight to moderate with multifocal acinar replacement. Slight ductular changes including focal plugging (04A PH) and ductal islet units. Increased fibrosis within central third of 02A PB with mild increase exocrine CD3+ infiltration.</t>
  </si>
  <si>
    <t>A*01:01,29:01 B*07:05,49:01 DRB1*13:01,14:01 DQA1*01:03,01:01 DQB1*06:03,05:03</t>
  </si>
  <si>
    <t>A*01/29, B*07/49, DR*13/14, DQ*05/06</t>
  </si>
  <si>
    <t>Donor had no previous clinical or surgical history. Donor had a family history of diabetes – mother and grandmothers.</t>
  </si>
  <si>
    <t>Ins+/Gluc+ islets, a wide range of sizes including large (600-700um) and numerous single beta- and alpha-cells. Generally spheroid morphology and normal regional islet density. Incidental (mild) findings include focal acinar proliferation, focal high islet Ki67+ cells, mild exocrine CD3+ infiltrates (perivascular or within fibrotic regions), focal interstitial fibrosis, multifocal ductal squamous metaplasia and dysplasia, acinar-ductal metaplasia, islet hydropic changes, focal lobular fatty infiltration (PT), and atherosclerosis.</t>
  </si>
  <si>
    <t>No spleen recovered.</t>
  </si>
  <si>
    <t>A*30:01,68:02 B*42:02,81:01 DRB1*07:01,16:02 DQA1*02:01,01:02 DQB1*03:02,05:02</t>
  </si>
  <si>
    <t>A*30/68, B*42/81, DR*07/16, DQ*05/08</t>
  </si>
  <si>
    <t>Donor had no previous clinical or surgical history. Donor had no known family history.</t>
  </si>
  <si>
    <t>Ins+/Gluc+ islets, a wide range of sizes with mostly spherical morphologies including numerous single endocrine cells or clusters. Few islets with high Ki67 and CD3+ cell numbers.</t>
  </si>
  <si>
    <t>A*31:01,68:01 B*40:02,52:01 DRB1*14:02,14:06 DQA1*05:03,05:03 DQB1*03:01,03:04</t>
  </si>
  <si>
    <t>A*31/68, B*61/52, DR*14/14, DQ*07/07</t>
  </si>
  <si>
    <t>Donor had been previously refused as a blood donor due to low body weight, but otherwise had no previous clinical history. Donor had no surgical or known family history.</t>
  </si>
  <si>
    <t>Ins+/Gluc+ islets, normal sizes, and morphologies including single endocrine cells in acinar regions. No significant lesions observed.</t>
  </si>
  <si>
    <t>Donor was in the 1st percentile for height/weight.</t>
  </si>
  <si>
    <t>A*01:01,29:02 B*08:01,44:03 DRB1*03:01,07:01 DQA1*05:01,02:01 DQB1*02:01,02:02</t>
  </si>
  <si>
    <t>A*01/29, B*08/44, DR*07/17, DQ*02/--</t>
  </si>
  <si>
    <t>Donor had a clinical history significant for a recent diagnosis of ITP following a rash on his legs the week before admission, which was treated with prednisone. He also had a recent history of severe headache. He was diagnosed with asthma at age 4, treated with Singulair, which was discontinued after 3 years due to causing nightmares. Also treated with an unknown inhaler, which was discontinued during the year before admission, as it was no longer needed. Donor had no previous surgical history. Donor had a family history of T2D – maternal cousin.</t>
  </si>
  <si>
    <t>Ins+/Gluc+ islets, numerous small to medium islets with spherical morphologies including focal beta-cell hyperplasia (PT 04B). Acinar regions show increased intralobular demarcations resulting in many small lobules except PT 04B section with confluency between lobules giving very solid appearance (incidental finding). No significant lesions.</t>
  </si>
  <si>
    <t>Corresponds with GI case G1002. Donor received multiple transfusions during admission. Hospital HbA1c 9.0%. UF HbA1c run 3 times total with values of 5.2%, 5.5%, and 5.6%. Suspected lab error with hospital HbA1c - UF value used instead.</t>
  </si>
  <si>
    <t>A*02:01,68:01 B*40:01,50:01 DRB1*07:01,15:01 DQA1*02:01,01:02 DQB1*02:02,06:02</t>
  </si>
  <si>
    <t>A*02/68, B*50/60, DR*07/15, DQ*02/06</t>
  </si>
  <si>
    <t>Donor had a previous clinical history of depression (treated with medication) and no surgical history. Donor had a family history of diabetes – maternal and paternal grandparents.</t>
  </si>
  <si>
    <t>Ins+/Gluc+ islets, numerous with regular morphologies, sizes, and densities. Hydrophic degeneration, mild. Very mild fatty infiltration, PanTail, intralobular, multifocal. Very mild exocrine infiltration with polymorphonuclear cells including focal areas with high numbers of eosinophils. Increased acinar and white blood cell (WBC) Ki67+ cell numbers, variable and multifocal.</t>
  </si>
  <si>
    <t>A*01:01,02:06 B*49:01,51:01 DRB1*04:05,08:02 DQA1*03:01,04:01 DQB1*03:02,04:02</t>
  </si>
  <si>
    <t>A*01/02, B*49/51, DR*04/08, DQ*08/04</t>
  </si>
  <si>
    <t>Donor had no clinical history. Donor had surgical history of wisdom teeth removal 15 years prior to admissions. Donor had a family history of great uncle having diabetes.</t>
  </si>
  <si>
    <t>Ins+/Gluc+ islets, numerous with mostly small sizes and regular oval morphologies. No significant pancreatic lesions. Incidental finding for thrombosed arteries in spleen.</t>
  </si>
  <si>
    <t>Negative for SARS-CoV-2 PCR testing via nasopharyngeal swab and bronchoalveolar lavage.</t>
  </si>
  <si>
    <t>A*24:02,32:01 B*38:01,40:02 C*02:02,12:03 DRB1*11:01,13:01 DQA1*05:05,01:03 DQB1*03:01,06:03 DPA1*01:03,01:03 DPB1*04:01,04:01</t>
  </si>
  <si>
    <t>A*24/32, B*38/61, DR*11/13, DQ*07/06</t>
  </si>
  <si>
    <t>All Donor Information</t>
  </si>
  <si>
    <t>HPAP068</t>
  </si>
  <si>
    <t>GADA+ IA2A+ mIAA+</t>
  </si>
  <si>
    <t>&lt;0.02</t>
  </si>
  <si>
    <t>History of kidneys infection now and again last infection was 2 months ago, Paternal grandmother, paternal great grandmother, grandfathers, paternal great aunt had diabetes, paternal grandmother had history of CAD. Faint heart murmur discovered 6-7 years ago; heart attack this admission. Fever 6 weeks ago due to strep throat swollen lymph nodes in her neck. ongoing rush from 2018-present due to genital herpes. 55 lb weight loss from 2016 to present. severe headaches due to DKA episodes</t>
  </si>
  <si>
    <t>Ins-/Gluc+ islets, reduced numbers and sizes. Moderate acute pancreatitis with multiple duct ruptures and foci of fat necrosis.</t>
  </si>
  <si>
    <t>*Insulin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</si>
  <si>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HPAP041</t>
  </si>
  <si>
    <t>Donor had a clinical history of T1D x12 years, treated with insulin, non-compliant. Also had celiac disease, and a history of pancreatitis approximately 2 years before admission. She was noted to have received treatment at a nephrology clinic, but no kidney disease was indicated in medical history completed by family. Donor had no previous surgical or family history.</t>
  </si>
  <si>
    <t>Ins-/Gluc+ islets, mostly medium to large sizes with irregular profiles, numerous. Islets with 6 or more CD3+ cells scattered between blocks. Mild acinar atrophy.</t>
  </si>
  <si>
    <t>not available</t>
  </si>
  <si>
    <t>HPAP048</t>
  </si>
  <si>
    <t>He was not consistent with his insulin and was not taking it on a regular basis. Drug abue (Meth)</t>
  </si>
  <si>
    <t>Ins-/Gluc+ islets, small with reduced numbers. Moderate exocrine mass loss with no major exocrine infiltrates observed.</t>
  </si>
  <si>
    <t>HPAP078</t>
  </si>
  <si>
    <t>GADA+ mIAA+</t>
  </si>
  <si>
    <t>Admitted for cardiac arrest secondary to DKA. Donor had a clinical history of T1D – time of diagnosis was unclear, most likely during hospital admission. She had a 2 week stay in the NICU at birth due to hypoglycemia. Recent history of yeast infection. Donor had no previous surgical history. Donor had a family history of diabetes – father.</t>
  </si>
  <si>
    <t>Ins+/Gluc+ islets, rare with irregular morphology and reduced beta-cells. Majority of islets are Ins-. Insulitis present as dense aggregates with low CD3+ cell numbers or widely distributed throughout Ins+ islets with aggregates in periphery, at both Ins+ and Ins- islets, containing both CD20 and CD8 cells. Exocrine mass reduced PH with no significant exocrine infiltrates observed.</t>
  </si>
  <si>
    <t>Negative for SARS-CoV-2 PCR (x2) and antibody (x1) testing from nasopharyngeal swab.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</si>
  <si>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A*02/03, B*62/39, DR*01/17, DQ*02/05</t>
  </si>
  <si>
    <t>GADA+ mIAA*+</t>
  </si>
  <si>
    <t>The donor had a history of diabetes, Addison's disease, Hashimoto's thyroiditis, migraines, and stomach ulcers. She had a surgical history of appendectomy. She had a family history of diabetes (father, maternal grandmother and great-grandmother) and coronary artery disease (maternal great grandfather, father had recent heart attack).</t>
  </si>
  <si>
    <t>Ins+/GCG+ islets with insulitis, wide range of sizes, mostly diffuse type (few have normal spherical morphology- these are mostly large islets). Single beta-cells observed in exocrine regions. Very mild fibrosis in few islets. INS-negative islets plentiful. Insulitis observed in several islets per section including rare INS-negative islet. CD3+ infiltrates as focal aggregates and peri-, intra-islet infiltrates. Mild exocrine CD3+ numbers and foci. Mild islet nuclear pleomorphism. Acinar and islet Ki67+ cell numbers- mild increase, highly variable between lobules and islets (see PanTail). Acinar atrophy, moderate.</t>
  </si>
  <si>
    <t>Processed by Dr. Rita Bottino in Pittsburgh PA.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</si>
  <si>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A*01/31, B*08/60, DR*17/04, DQ*02/08</t>
  </si>
  <si>
    <t>mIAA*+</t>
  </si>
  <si>
    <t>Donor had a clinical history of T1D x 3 years, diagnosed at 9 years old and treated with insulin. She was hospitalized for diabetes 3 months before admission. Had a recent history of headache the day of admission. Donor had no known surgical history. Donor had no known family history.</t>
  </si>
  <si>
    <t>Ins+/Gluc+ islets, numerous in all regions as well as single beta-cells. INS+ islets have regular morphology, size and lobular distributions with sparse insulitis. INS- islets have irregular morphologies, wide range of sizes including single alpha-cells, and normal numbers in regions except for distal tail wherein few islets are observed. Insulitis low numbers of affected islets with few numbers of CD3+ cells mainly as peri-islet- and intra-islet infiltrates. Widely variable islet Ki67+ cell numbers with several INS+ islets having high numbers. Acinar atrophy moderate head and body with pristine exocrine compartment (~no CD3+ infiltrates).</t>
  </si>
  <si>
    <t>Negative for SARS-CoV-2 PCR testing from nasopharyngeal swab. Donor was in the 88th percentile for height/weight.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</si>
  <si>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A*24:02,68:02 B*08:01,15:03 C*02:10,07:01 DRB1*03:01,07:01 DQA1*05:01,02:01 DQB1*02:01,02:02 DPA1*01:03,01:01 DPB1*02:01,104:01 Courtesy of Dr. Nakayama</t>
  </si>
  <si>
    <t>IA2A+ mIAA*+ ZnT8A+</t>
  </si>
  <si>
    <t>Donor had no previous clinical or surgical history. Donor had a family history of diabetes and coronary artery disease – paternal grandfather.</t>
  </si>
  <si>
    <t>Ins+/Gluc+ islets, greatly reduced numbers with majority INS- islets. Wide range sizes and both spherical and irregular profiles. Insulitis present in both INS+ and INS- islets as aggregates but majority have extensive diffuse infiltrates. Insulitis composed of highly variable numbers of CD8+ cells followed by CD20+ (none to majority). High Ki67+ in immune cells, mixed polymorphonuclear and mononuclear. Several small foci CD3+ mononuclear intralobular infiltrates. PLN in most sections including intralobular. Mild exocrine atrophy and inter- and intralobular fibrosis along fascial planes.</t>
  </si>
  <si>
    <t>Negative for SARS-CoV-2 PCR testing from nasopharyngeal swab. Donor was in the 93rd percentile for height/weight.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</si>
  <si>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 xml:space="preserve"> A*01:01,02:01 B*08:01,15:01 C*03:04,07:01 DRB1*03:01,04:01 DQA1*05:01,03:01 DQB1*02:01,03:02 DPA1*01:03,02:01 DPB1*04:01,01:01 Courtesy of Dr. Nakayama</t>
  </si>
  <si>
    <t>A*01/02, B*08/62, DR*04/17, DQ*02/08</t>
  </si>
  <si>
    <t>IA-2A+</t>
  </si>
  <si>
    <t>Donor had a recent clinical history significant for polyuria, polydipsia, and weight loss during the 2 weeks prior to admission. She had also been sick for a week before admission with a fever, vomiting, and general sickness. She saw her pediatrician 3 weeks before admission for a yeast infection. Donor had no previous surgical history. Donor had a family history of diabetes – maternal and paternal grandfathers.</t>
  </si>
  <si>
    <t>Ins+/Gluc+ islets, varied numbers of beta-cells per islet in PB and PT regions. Ins- islets in PH and lobular distribution in PB and PT. Insulitis present at both Ins+ and Ins- islets with majority having CD3+ cells particularly Ins- islets. CD20 present in varying proportions to CD8+. HLA hyperexpression correlates with Ins+ lobular distribution.</t>
  </si>
  <si>
    <t>Negative (x2) for SARS-CoV-2 PCR testing from nasopharyngeal swab. Donor was in the 99th percentile for height/weight.</t>
  </si>
  <si>
    <t>A*02:01,24:02 B*27:05,27:05 DRB1*01:01,04:01 DQA1*01:01,03:01 DQB1*05:01,03:02</t>
  </si>
  <si>
    <t>A*02/24, B*27/27, DR*01/04, DQ*05/08</t>
  </si>
  <si>
    <t>GADA+</t>
  </si>
  <si>
    <t>Donor had a clinical history of T1D x 4 years, managed with insulin. She had a history of DKA, including a recent urgent care visit 2 months before admission, and had recently seen her endocrinologist. History of bipolar disorder, wore eyeglasses, and saw a physician for common cold symptoms the month of admission. Donor had a surgical history of tonsillectomy at age 12. Donor had a family history of T2D – father. Also had a family history of gestational diabetes – mother, who later became insulin-dependent (likely T2D).</t>
  </si>
  <si>
    <t>Ins+/Gluc+ islets, found in all regions but greatly reduced numbers and small sizes. Overall reduced numbers and sizes of insulin-islets. Exocrine atrophy, mild to focally moderate. Insulitis at INS- islets, aggregates and diffuse intra-islet infiltrates. Mild multifocal acute pancreatitis with concretions and sludge in main and interlobular ducts throughout pancreas. Micro-ruptures of intralobular ducts with infiltration polymorphonuclear cells and hemorrhage.</t>
  </si>
  <si>
    <t>Negative (x2) for SARS-CoV-2 PCR testing from nasopharyngeal swab.</t>
  </si>
  <si>
    <t>A*02:01,31:01 B*08:01,40:01 C*03:04,07:01 DRB1*03:01,04:04 DQA1*05:01,03:01 DQB1*02:01,03:02 DPA1*01:03,02:01 DPB1*01:01,06:01 Courtesy of Dr. Nakayama</t>
  </si>
  <si>
    <t>A*02/31, B*08/60, DR*04/17, DQ*02/08</t>
  </si>
  <si>
    <t>GADA+ IA-2A+ mIAA*+ ZnT8A+</t>
  </si>
  <si>
    <t>Donor had a clinical history of T1D for 7 months, treated with insulin. He went to urgent care 2 months before admission for elevated blood sugar, and had seen his endocrinologist for a check-up during the week before admission. He also had a history of asthma as a child – no symptoms in the last 5 years. Donor had a surgical history of hernia surgery at age 2. Donor had a family history of diabetes – biological mother.</t>
  </si>
  <si>
    <t>Ins+/Gluc+ islets intermixed with Ins-/Gluc+ islets. Insulitis present, numerous with most blocks having one or more insulitic islet. Islet infiltrates both focal aggregates and diffuse with extensions into surrounding acini. Wide range of islet sizes including some large (&gt;500um). Islet morphology is spherical to irregular. Numerous foci of single beta-cells. Moderate and variably increased islet Ki67+ cell numbers with increased acinar Ki67+ cell numbers. Moderate acinar atrophy and ectasia. Very rare foci PMN acinar region and several small mononuclear foci (perilobular, PH 2 blocks (low Ki67+)).</t>
  </si>
  <si>
    <t>Negative for SARS-CoV-2 PCR testing from nasopharyngeal swab x3 and bronchoalveolar lavage.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 High-resolution HLA data provided courtesy of Dr. Sally Kent</t>
  </si>
  <si>
    <t>A*02:01,29:02 B*44:03,57:01 C*06:02,16:01 DRB1*04:01,07:01 DQA1*03:03,02:01 DQB1*03:01,02:02 DPA1*01:03,01:03 DPB1*04:01,04:01 DRB4*01:01,01:03 E*01:01,01:03 F*01:01,01:01 G*01:01,01:01 H*01:01,02:02 MICA*004:01,017 MICB*005:02,005:02</t>
  </si>
  <si>
    <t>A*02/29, B*44/57, DR*04/07, DQ*02/07</t>
  </si>
  <si>
    <t>GADA+ IA2A+ mIAA+ ZnT8A+</t>
  </si>
  <si>
    <t>Donor had a clinical history of T1D, diagnosed during the year before admission and treated with insulin, but discontinued after 6 months. He had a history of DKA and went to urgent care 2 days before admission for hyperglycemia. He was diagnosed at age 8 with ADHD and bipolar disorder, and was treated with medication for 2 years. He had a history of suicidal ideation, poly-substance abuse including intravenous drug use, methicillin-resistant Staphylococcus aureus [MRSA] infection, and had COVID-19 infection 6 months before admission. He experienced inconsistent housing and had high-risk social behaviors. He did not have a known history of hepatitis but HCV RNA testing during hospital admission was positive for Hepatitis C, suggesting active infection. Donor had no known surgical history. Donor had a family history of diabetes – mother and paternal grandmother. His paternal grandmother also had coronary artery disease.</t>
  </si>
  <si>
    <t>Ins+/Gluc+ islets and INS- islets, both with insulitis with high lobular variability in distribution of INS- islets and islet density with complete loss of islets in lobules found within the body region. Islets have mostly spherical shapes with small to moderate sizes however irregular shapes also present. Islet endocrine nuclear polymorphism observed with mild islet fibrosis and hydropic degeneration. Numerous single beta-cells are observed, particularly at the lobule edges in body and tail regions. Insulitis observed as small aggregates with both CD3+ and CD3- mononuclear cells or as diffuse peri- and intra-islet infiltrates. Exocrine regions show robust CD3+ numbers, present at perivascular and fascial planes or widely scattered. Additional acinar findings include acute polymorphonuclear infiltrates (high Ki67+ numbers) and acinar eosinophilic degeneration that is usually observed in control donors. Small foci of interstitial fibrosis in all regions. Acinar atrophy in head and body regions. Peripancreatic fat is moderate with variable intralobular fat, mild to moderate.</t>
  </si>
  <si>
    <t>Positive for Hepatitis C via HCV RNA testing and Methicillin-resistant Staphylococcus aureus [MRSA] via nasal culture.Negative for SARS-CoV-2 PCR testing from nasopharyngeal swab. Previous COVID-19 infection 6 months before hospital admission.</t>
  </si>
  <si>
    <t>A*02:01,29:02 B*37:01,44:03 C*06:02,16:01 DRB1*07:01,13:02 DQA1*02:01,01:02 DQB1*02:02,06:04 DPA1*01:03,02:01 DPB1*03:01,11:01</t>
  </si>
  <si>
    <t>A*02/29, B*37/44, DR*07/13, DQ*02/06</t>
  </si>
  <si>
    <t>Donor was hospitalized for DKA. T1D diagnosed during admission. Donor had a clinical history of asthma, last attack 3 years before admission. He also had a recent history significant for dizzy spells, sore throat, and fungal rash during the week before admission. His last routine check-up had been a month before admission. Donor had no previous surgical history. Donor had a family history of diabetes – mother, maternal grandmother, and maternal great-grandmother.</t>
  </si>
  <si>
    <t>Ins+/Gluc+ islets, reduced in size and numbers (density). Infrequent islets with abnormal shapes including "horse-shoe" and "boot-shaped". Marked endocrine nuclear pleomorphism. Extralobular islets in increased numbers and often larger sized (500um). Exocrine region has several foci of ADM, particularly in lobule periphery. No exocrine atrophy. Mild lobular fatty infiltration, tail region (05A). Small (&lt;5%) multifocal regions of autolysis. Minimal changes in exocrine compartment except for small foci interstitial fibrosis.</t>
  </si>
  <si>
    <t>Negative for SARS-CoV-2 PCR testing from nasopharyngeal swab and bronchoalveolar lavage. Donor was in the 91st percentile for height/weight. 9/14/2021: MODY testing negative. “Absent in gnomAD. Weakly conserved aa and benign by in silico (4/4). Not present in HGMD or ClinVar.”</t>
  </si>
  <si>
    <t>A*29:02,33:03 B*45:01,53:01 C*04:01,06:02 DRB1*08:04,11:03 DQA1*04:01,05:05 DQB1*03:19,03:01 DPA1*01:03,02:01 DPB1*01:01,04:02 Courtesy of Dr. Nakayama</t>
  </si>
  <si>
    <t>A*29/33, B*45/53, DR*08/11, DQ*07/07</t>
  </si>
  <si>
    <t>IA2A+</t>
  </si>
  <si>
    <t>Donor presented to the hospital with diabetic ketoacidosis, secondary to previously undiagnosed diabetes mellitus. Donor had a recent clinical history of nausea, vomiting, and headache. 2-3 days before admission she experienced diarrhea, night sweats, and tremors upon waking up. Unexplained 15 pound weight loss 1 month before admission. Donor had a surgical history of myringotomy at age 2. Donor had a family history of coronary artery disease - paternal grandmother.</t>
  </si>
  <si>
    <t>Ins+/Gluc+ islets, reduced numbers with variable lobular losses of INS+ islets however the majority of islets are INS+. Islets are small and in reduced numbers, mostly spherical morphologies. Insulitis present, sparse, infrequent. Moderately elevated Ki67+ cell numbers in ducts, acinar cells and interspersed immune cells throughout exocrine regions. Numerous foci of acute pancreatitis with loss of acinar cells, adipocyte degeneration, and hemorrhage; number of foci and/or extent greater in tail region than body and head.</t>
  </si>
  <si>
    <t>Negative for SARS-CoV-2 PCR testing from nasopharyngeal swab and bronchoalveolar lavage. Donor was in the 91st percentile for height/weight.</t>
  </si>
  <si>
    <t>A*02:01,11:01 B*40:01,50:01 C*03:04,06:02 E*01:01,01:03 F*01:01,01:01 G*01:01,01:01 H*01:01,02:07 DRB1*07:01,08:01 DQA1*02:01,04:01 DQB1*02:02,04:02 DPA1*01:03,01:03 DPB1*03:01,06:01 DRB4*01:01,01:01 MICA*008:04,009:02 MICB*002:01,005:06</t>
  </si>
  <si>
    <t>A*02/11, B*60/50, DR*07/08, DQ*02/04</t>
  </si>
  <si>
    <t>GADA+ IA-2A+ ZnT8A+ mIAA*+</t>
  </si>
  <si>
    <t>&lt;0.05</t>
  </si>
  <si>
    <t>Donor had history of diabetes (type 1), prior craniotomy, Appendectomy, Cholecystectomy, and mental retardation.</t>
  </si>
  <si>
    <t>Ins- (majority)/Gluc+, rare Ins+ islet (Tail). Islet and acinar atrophy, moderate to focally severe. Acinar region has mild diffuse CD3+ with occ. infiltrate.</t>
  </si>
  <si>
    <t>*Insulin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</si>
  <si>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A*01:01 , 02:01 DRB1*01:01 , 03:01 DQA1*01:01 , 05:01 DQB1*02:01 , 05:01</t>
  </si>
  <si>
    <t>A*01/02, B*08/27, DR*01/17, DQ*02/05</t>
  </si>
  <si>
    <t>Donor was diagnosed with Type 1 diabetes on admission. The donor had a clinical history of muscle spasms treated 2 months prior to admission. The donor had a family history of diabetes (maternal uncle, unknown type).</t>
  </si>
  <si>
    <t>Ins+/Gluc+ islets, moderate reduction numbers of Ins+ islets. Many islets with abnormal morphologies (large, fusing smaller islets, irregular outlines, fibrosis) in contrast to normal spherical/oblong islet morphologies. Insulitis in most Ins+ islets and small number of Ins- islets. Islet nuclear pleomorphism with variable hydropic degeneration. Adipose cells are also associated with islets. Generally low islet Ki67+ but occasional islet with high Ki67+ in non-beta cells. Moderate to high acinar Ki67+ cells. Mild to moderate acinar CD3+ infiltrates and variable fatty infiltration. Moderate exocrine atrophy with variable intralobular fibrosis. Amyloid in rare islets, PanTail.</t>
  </si>
  <si>
    <t>A*03:01,11:01 DRB1*01:03,03:01 DQA1*01:01,05:01 DQB1*02:01,05:01</t>
  </si>
  <si>
    <t>A*03/11 B*18/35 DR*103/17 DQ*02/05</t>
  </si>
  <si>
    <t>GADA+ IA-2A+ ZnT8A+</t>
  </si>
  <si>
    <t>The donor had a history of gestational diabetes (current pregnancy, treated with insulin). She had a previous surgical history of cholecystectomy and appendectomy. Donor was 32 weeks pregnant and had Cesarean section.</t>
  </si>
  <si>
    <t>Ins+/Gluc+ (majority) with normal sizes and morphologies. Ins-/Gluc+ islets as scattered small islets or within certain lobules. Insulitis present all regions. Variable peri-islet fibrosis. Acute pancreatitis (PH 01A). Lobules with moderate acinar Ki67+ cell numbers. Fatty infiltration highly variable between lobules given block. Multiple small foci of lobular fibrosis with low grade PanIN. Multifocal squamous metaplasia in small intralobular ducts.</t>
  </si>
  <si>
    <t>A*30:02,31:01 B*18:01,40:02 DRB1*03:01,04:07 DQA1*05:01,03:01 DQB1*02:01,03:02</t>
  </si>
  <si>
    <t>A*30/31 B*18/61 DR*04/17 DQ*02/08</t>
  </si>
  <si>
    <t>The donor had a clinical history of diabetes and polysubstance abuse. He had a family history of coronary artery disease (father and maternal grandfather).</t>
  </si>
  <si>
    <t>Ins-/Gluc+ islets, irregular morphologies, and reduced numbers and sizes. Low grade patchy polymorphonuclear and mononuclear infiltrates in exocrine regions with one foci fat necrosis (PB 03) with PMN infiltration and acinar cell loss (very mild acute pancreatitis). PH 01A shows marked reduction in exocrine cell mass (acinar atrophy).</t>
  </si>
  <si>
    <t>A*02:01,32:01 B*15:01,51:01 DRB1*04:01,11:03 DQA1*03:01,05:05 DQB1*03:02,03:01</t>
  </si>
  <si>
    <t>A*02/32 B*51/62 DR*04/11 DQ*07/08</t>
  </si>
  <si>
    <t>The donor had a history of diabetes (treated with insulin), hypothyroidism, and gynecomastia. He also had a family history of diabetes (patrenal aunt and maternal cousin).</t>
  </si>
  <si>
    <t>Ins-/Gluc+ islets, small sizes, reduced numbers with irregular profiles. Mild increase acinar Ki67+ cell numbers.</t>
  </si>
  <si>
    <t>Serum received approximately 30 hours after case.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</si>
  <si>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A*01:01,02:01 B*15:01,18:01 DRB1*03:01,04:01 DQA1*05:01,03:01 DQB1*02:01,03:02</t>
  </si>
  <si>
    <t>A*01/02, B*62/18, DR*17/04, DQ*-/-</t>
  </si>
  <si>
    <t>GADA+ IA-2A+ mIAA*+</t>
  </si>
  <si>
    <t>The donor had history of diabetes, treated with insulin pump. She had a recent history of weight loss, 30 lbs 6 months prior, but regained it back. She also had a recent history of seizures and a recent urinary tract infection. The donor had a family history of coronary artery disease (grandmother, grandfather, uncle)</t>
  </si>
  <si>
    <t>Ins-/Gluc+ islets, reduced numbers and irregular morphologies. Single beta cell observed in all blocks in addition to other single endocrine cells. Eosinophilic infiltration, moderate, all blocks, exocrine regions (perilobular, intralobular). Exocrine atrophy, moderate. PanIN low grade PanBody 02 with ductal islet units, primarily alpha cells. Atherosclerosis, medium vessel in PanTail (moderate). Small to medium splenic vessels have hypertrophy of smooth muscle layers.</t>
  </si>
  <si>
    <t>A*03:01,03:01 B*07:02,15:01 DRB1*01:01,04:01 DQA1*01:01,03:01 DQB1*05:01,03:02</t>
  </si>
  <si>
    <t>A*03/03, B*07/62, DR*01/04, DQ*05/08</t>
  </si>
  <si>
    <t>Hypoglycemia</t>
  </si>
  <si>
    <t>The donor had a history of diabetes, multiple admissions for diabetic ketoacidosis, recent admission for extreme generalized edema and bilateral pleural effusions, diabetic retinopathy, hypertension, left leg abscess, depression, night sweats, and heart murmur. She had previous surgical history of incision and drainage of lower leg intramuscular abscess, tendon manipulation, vein reconstruction, Lasik eye surgery, and tonsillectomy. The donor had a family history of diabetes (paternal and maternal great grandmother, great uncle, great aunt, maternal third cousin).</t>
  </si>
  <si>
    <t>Ins+/Gluc+ islets and single beta-cells in low numbers. High lobular heterogeneity in beta-cell distribution. Islets have normal to irregular profiles. Mild islet fibrosis. Moderate acinar atrophy with diffuse intra- and perilobular fibrosis. Mild exocrine CD3+ infiltrates with focal aggregates mostly perilobular. PanIN, low grade, multifocal (PB 02A).</t>
  </si>
  <si>
    <t>A*02:01,23:01 B*14:02,81:01 DRB1*03:01,11:01 DQA1*05:01,03:03 DQB1*02:01,02:02</t>
  </si>
  <si>
    <t>A*02/23, B*65/81, DR*17/11, DQ*02/-</t>
  </si>
  <si>
    <t>IA-2A+ mIAA*+</t>
  </si>
  <si>
    <t>The donor had a history of diabetes (treated with insulin), previous admission for diabetic ketoacidosis, anxiety, depression, and diabetic neuropathy. He had a surgical history of tonsillectomy at age 6. He had a family history of coronary artery disease (grandfather).</t>
  </si>
  <si>
    <t>Ins+/Gluc+ islets with hypertrophy and Ins+ clusters and single BC. Insulitis at Ins+ and Ins- islets. Islet hypertrophy and irregular morphologies. Amyloid in at least 1 islet (PT). Mild pancreatic trauma indicated by multifocal hemorrhages with fat necrosis, and white blood cell infiltrates (acute inflammation or pancreatitis). Low-grade PanIN in regions with interstitial fibrosis (PH 04B).</t>
  </si>
  <si>
    <t>A*24:02,29:02 B*39:06,45:01 DRB1*04:01,13:01 DQA1*03:01,01:03 DQB1*03:02,06:03</t>
  </si>
  <si>
    <t>A*24/29, B*39/45, DR*04/13, DQ*08/06</t>
  </si>
  <si>
    <t>The donor had a history of diabetes, epilepsy, seizures, rash, cysts, severe headaches, asthma, bronchitis, chronic obstructive pulmonary disease, hypertension, astigmatism in the left eye, and a broken back. She also had a recent history of cardiac arrest and pneumonia vaccination one week prior to admission. The donor had a surgical history of brain surgery including nerve stimulator (placed but then removed) and ventriculoperitoneal shunt, back surgery, and Cesarean section. She had a family history of diabetes (paternal great aunts) and coronary artery disease (maternal family).</t>
  </si>
  <si>
    <t>Ins+/Gluc+ islets, reduced numbers in head and body regions with mostly spherical morphologies and highly variable beta-cell numbers. Single beta-cells in exocrine regions. Insulitis based on CD3+ IHC in one section (PB 02B). Majority of islets are Ins-. Diffuse mild exocrine CD3+ infiltrates, perivascular &gt;&gt; periductal. Mild interstitial fibrosis and peri-islet fibrosis. Variable mild fatty infiltration. Hypertrophic islet (GCG+ SST+, PT 04, 500 um). Amyloid- 1 islet PH.</t>
  </si>
  <si>
    <t>A*02:01,11:01 B*08:01,45:01 DRB1*03:01,07:01 DQA1*05:01,02:01 DQB1*02:01,02:02</t>
  </si>
  <si>
    <t>A*02/11, B*08/45, DR*07/17, DQ*02/-</t>
  </si>
  <si>
    <t>GADA+ IA-2A+</t>
  </si>
  <si>
    <t>The donor had a history of diabetes, was non-compliant with insulin, and had multiple DKA visits. He also had mild asthma. He had a family history of diabetes (maternal grandmother).</t>
  </si>
  <si>
    <t>Ins+/Gluc+ islets (greatly reduced numbers), several with insulitis. Majority of islets are Ins- with varied morphologies from normal spherical to spread out. Reduced numbers of islets. No single beta cells observed. Several lobules with Ins+ islets of normal appearance. High HLA-I in select islets. Low Ki67. PMN infiltrates secondary to ductal plugging/ruptures with acute pancreatitis (02 PB) as well as mild grade chronic inflammation in several blocks.</t>
  </si>
  <si>
    <t>A*01:01,01:01 B*08:01,57:01 DRB1*03:01,04:04 DQA1*05:01,03:01 DQB1*02:01,03:02</t>
  </si>
  <si>
    <t>A*01/01, B*08/57, DR*04/17, DQ*02/08</t>
  </si>
  <si>
    <t>IA-2A+ mIAA*+ ZnT8A+</t>
  </si>
  <si>
    <t>The donor had a history of diabetes. She had a recent history of flu one month prior to admission. She had celiac disease-like symptoms but no official diagnosis, as well as difficulty walking and headaches, attributed to low glucose. The donor had a family history of diabetes (maternal side).</t>
  </si>
  <si>
    <t>Ins+/Gluc+ islets (N=6, PanTail, 2 blocks). Vast majority Ins- islets with diffuse-type morphology and abundant single alpha-cells. Head region has islet atrophy with lobules devoid of endocrine cells. Numerous single alpha-cells in patchy distribution. Low numbers of ductal islet units of alpha-cells, delta-cells, PP-cells. Variable numbers of Ki67+ cells in islets and exocrine region, mainly tracking the distribution of peri-venous/exocrine CD3+ infiltrates. Acinar atrophy and fibrosis, mild, multifocal.</t>
  </si>
  <si>
    <t>A*03:01,26:01 B*07:02,35:01 DRB1*01:01,04:01 DQA1*01:01,03:01 DQB1*05:01,03:01</t>
  </si>
  <si>
    <t>A*03/26, B*07/35, DR*01/04, DQ*07/05</t>
  </si>
  <si>
    <t>GADA+ ZnT8A+</t>
  </si>
  <si>
    <t>Donor had a clinical history of hospitalizations for childbirth - 6 days prior to admission (on antibiotics), and 18 months prior to admission. No surgical or family history.</t>
  </si>
  <si>
    <t>Ins+ islets, numerous with range in sizes and compact morphologies. Low numbers of insulin-negative islets and also insulitis present (aggregates and peri-islet). Rare islet hyperplasia (&gt;500um). No exocrine infiltrates. HLA class I- low to moderate islet infiltrating lymphocytes otherwise normal low levels</t>
  </si>
  <si>
    <t>A*02:01,23:01 B*14:01,82:01 DRB1*04:05,13:01 DQA1*03:01,01:03 DQB1*03:02,06:03</t>
  </si>
  <si>
    <t>A*02/23, B*64/82, DR*04/13, DQ*08/06</t>
  </si>
  <si>
    <t>Donor had a clinical history of T1D. Frequent hospitalizations (15 in the 6 years prior to admission) for diabetic ketoacidosis, hypoglycemia, suicide ideation/depression, urinary tract infections, and reports of seizure activity. History of self-harm (parents report donor cut herself with razors) - was recently hospitalized for two weeks due to attempted suicide and discharged a week before terminal hospital admission. Previously admitted for pneumatosis of the bowel, which resolved with antibiotics. Donor had no family history.</t>
  </si>
  <si>
    <t>Ins-/Gluc+ islets, reduced numbers, mostly small to medium sized, diffuse morphologies (irregular outlines). Variable moderate exocrine atrophy. None to very mild CD3+ exocrine and periductal infiltrates.</t>
  </si>
  <si>
    <t>A*01:01,03:01 B*07:02,08:01 DRB1*03:01,04:04 DQA1*05:01,03:01 DQB1*02:01,03:02</t>
  </si>
  <si>
    <t>A*01/03, B*07/08, DR*04/17, DQ*02/08</t>
  </si>
  <si>
    <t>Donor had a clinical history of T1D (6 years duration), Meniere’s disease, hearing loss, vertigo, and childhood asthma/reactive airway disease with wheezing. Donor had a surgical history of adenoidectomy and tonsillectomy. Family history of diabetes – sister with T1D, and grandfather.</t>
  </si>
  <si>
    <t>Ins+/Gluc+ islets (rare- 10 islets in tail 02) otherwise global loss of beta-cells throughout remaining pancreas. Insulitis at Ins+ and Ins- islets as peri-islet and aggregates particularly in Ins- islets. Severe autolysis as expected. Very mild exocrine CD3 numbers, variable.</t>
  </si>
  <si>
    <t>A*02:01,31:01 B*15:01,15:18 DRB1*04:01,04:01 DQA1*03:01,03:01 DQB1*03:02,03:02</t>
  </si>
  <si>
    <t>Not available</t>
  </si>
  <si>
    <t>DKA</t>
  </si>
  <si>
    <t>Autopsy</t>
  </si>
  <si>
    <t>Donor had a clinical history of T1D x6 years, diagnosed at 7 years old. He also had a history of asthma and attention-deficit/hyperactivity disorder (ADHD). He had been recently hospitalized for an abscess two months prior to admission. No surgical history. No documented family history.</t>
  </si>
  <si>
    <t>Ins-/Gluc+ islets with reduced numbers and diffuse morphologies rather than spherical profiles. Several large islets all regions (&gt;300um). Mild exocrine atrophy.</t>
  </si>
  <si>
    <t>A*02:05,23:01 B*15:10,49:01 DRB1*03:01,04:05 DQA1*05:01,03:03 DQB1*02:01,03:02</t>
  </si>
  <si>
    <t>A*02/23, B*49/71, DR*04/17, DQ*02/08</t>
  </si>
  <si>
    <t>Donor had a clinical history significant for T1D x8 years, treated with insulin. He had a history of difficulty walking for 4 years due to neuropathy and used a walker. He also had swelling in his lower legs. He was blind in both eyes, right eye 9 months before admission, left eye 4 months before admission. He scratched his right cornea 2 months before admission, treated with eye drops. He also experienced joint pain due to neuropathy during the year of admission. He had a history of gastrointestinal issues – had constant diarrhea since the beginning of the year of admission due to neuropathy (loss of control of bowels), and associated red rash on legs and buttocks. He was diagnosed with asthma 19 years before admission, treated with inhaler for 3 years, but grew out of it. Recent history of low grade fever during the month of admission following left below knee amputation. Donor had a surgical history of left below knee amputation 2 months before admission. He also had 2 surgeries to clean infection from leg stump, one the week after surgery, and another a month later. He underwent surgery to repair an ankle fractured in three places 2 months before admission. He also had a surgical procedure to treat scratched right cornea 2 months before admission. Donor had no known family history.</t>
  </si>
  <si>
    <t>Ins+/Gluc+ islets, rare with few beta-cells/islet, patchy distribution in all regions. Majority of islets are Ins- with medium to large sizes, some regions with reduced islet numbers, and mostly spherical profiles. Chronic pancreatitis with several region containing foci with interstitial fibrosis, PanIN, and mononuclear infiltrations around ducts and vessels. Acute pancreatitis with 1 ruptured duct and diffuse polymorphonuclear infiltrates throughout all regions. Stones present in multiple ducts including head to tail. Prominent nerves in all regions. Moderate to severe reduction in acinar cell mass.</t>
  </si>
  <si>
    <t>Extracted RNA from donor tissue SARS-CoV-2 negative by PCR. Pancreatic calcifications noted on CT during hospital admission.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</si>
  <si>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A*02:01,02:06 B*15:01,51:01 DRB1*04:01,08:02 DQA1*03:01,04:01 DQB1*03:02,04:02</t>
  </si>
  <si>
    <t>A*02/02, B*62/51, DR*04/08, DQ*08/04</t>
  </si>
  <si>
    <t>Donor had a clinical history significant for T1D x 18 years, treated with medication. They also had a history of hypertension x 2 years, treated with medication. Donor was hospitalized 3 months before terminal admission for complications of diabetes, hypertension, and seizures – stayed for 1 week. They also experienced severe headaches daily – throbbing headache with photophobia related to hypertension. Donor also experienced diabetic retinopathy in both eyes, diabetic nephropathy, and was being treated for gastro-esophageal reflux disease (GERD) and irritable bowel syndrome (IBS), leg prosthesis, and kidney failure. Donor had a surgical history significant for right below knee amputation secondary to diabetic nephropathy 16 months before admission, abdominal drainage 11 months before admission, and hip repair surgery 2 years before admission. Donor had no documented family history.</t>
  </si>
  <si>
    <t>Ins-/Gluc+ islets of varying sizes and shapes with normal numbers per section. Slight exocrine CD3+ infiltrates, peri-ductal and peri-vascular. Minor ductal changes, intralobular, mild dysplasia. Exocrine atrophy with moderate fibrosis. Moderate atherosclerosis.</t>
  </si>
  <si>
    <t>Extracted RNA from donor tissue SARS-CoV-2 negative by PCR.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</si>
  <si>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A*02:01,02:05 B*49:01,58:01 DRB1*03:01,04:05 DQA1*05:01,03:03 DQB1*02:01,03:02</t>
  </si>
  <si>
    <t>A*02/02, B*19/58, DR*17/04, DQ*02/08</t>
  </si>
  <si>
    <t>Donor had a clinical history of T1D x10 years, diagnosed at age 4, managed with insulin pump. Typical HbA1c 12% or higher. Recent history of hospital admissions/clinic visits for diabetic ketoacidosis (DKA) with possible seizures/altered mental status, as well as migraines, mild brain edema, and vomiting. Donor had a surgical history of pyloric stenosis repair 14 years before admission, and placement of tympanostomy tubes. Donor had a family history of T1D – father, two paternal uncles. Also had a family history of T2D – paternal grandfather. Family history of migraines – mother.</t>
  </si>
  <si>
    <t>Ins-/Gluc+ islets, high numbers in all regions particularly in the tail region with great variation in sizes. Majority of islets are small to medium sizes with highly irregular profiles. Moderate acinar atrophy. High numbers Ki67+ cells within main duct epithelium. Low numbers CD3+ cells in exocrine regions.</t>
  </si>
  <si>
    <t>Negative for SARS-CoV-2 PCR testing from nasopharyngeal swab.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</si>
  <si>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A*02:01,24:02 B*15:01,44:02 DRB1*04:01,04:02 DQA1*03:01,03:01 DQB1*03:02,03:02</t>
  </si>
  <si>
    <t>A*02/24, B*62/04, DR*04/04, DQ*08/08</t>
  </si>
  <si>
    <t>Donor had a clinical history of T1D diagnosed during terminal hospital admission. He had a recent history of severe headache localized to the back of the head 2 weeks prior to admission, describing the pain as a 4 out of 10. He also had a recent history of diarrhea and nausea for 3 weeks prior to, and up until admission. Donor had no previous surgical history. Donor had no known family history.</t>
  </si>
  <si>
    <t>Ins+/Gluc+ islets, numerous with wide range of sizes including many &gt;250um with mostly spherical morphologies. Insulitis, focal mononuclear aggregates by H&amp;E (04A PT, 02A PB). Exocrine mononuclear infiltrates, small to moderate sized. Intralobular ducts have luminal sludge with mild dilation but no infiltrates. Mild global polymorphonuclear exocrine infiltrates. PanIN, low grade, PB 02B. Acinar degranulation, multifocal moderate. Perilobular fat high with moderate intralobular fat. Acinar atrophy minimal rather loss of exocrine mass secondary to fatty infiltration and secondary remodeling due to small duct disease.</t>
  </si>
  <si>
    <t>A*02:01,31:01 B*35:03,40:01 DRB1*04:04,13:01 DQA1*03:01,01:03 DQB1*03:02,06:03</t>
  </si>
  <si>
    <t>A*02/31, B*35/60, DR*04/13, DQ*08/06</t>
  </si>
  <si>
    <t>Donor had a clinical history of T1D for less than 1 year, treated with insulin. He had a recent hospitalization for DKA 2 months before admission. Donor had no previous surgical history. Donor had no known family history.</t>
  </si>
  <si>
    <t>Ins+/Gluc+ islets, lobular distribution with numerous Ins- islets. Islets range in size from small to large with many large Ins- islets in tail region. Insulitis is found in low frequency with expected heterogeneity in CD3+ cell numbers including small and large islets with diffuse CD3+ infiltrates and medium sized Ins- islet with focal aggregate containing ~50% CD3+ cells. Moderate islet Ki67+ cell numbers. Focal exocrine atrophy in body region only.</t>
  </si>
  <si>
    <t>A*02:01,32:01 B*15:01,50:01 DRB1*04:01,13:01 DQA1*03:01,01:03 DQB1*03:02,06:03</t>
  </si>
  <si>
    <t>A*02/32, B*50/62, DR*04/13, DQ*08/06</t>
  </si>
  <si>
    <t>GADA+ IA2A+ mIAA*+</t>
  </si>
  <si>
    <t>Donor had a clinical history significant for T1D x 7 years, treated with insulin injections. She had last seen a physician for a diabetes checkup 9 months before admission. Donor also had a history of asthma x 4 years, treated with inhaler as needed, typically during physical education at school. Donor had no previous surgical history. Donor had a family history of diabetes on her mother’s side – brother, uncle, and grandmother.</t>
  </si>
  <si>
    <t>Ins-/Gluc+ islets, reduced numbers with mostly spherical morphologies. Acute and chronic pancreatitis, moderate throughout head and body with duct ruptures mostly in head regions. Mononuclear and polymorphonuclear infiltrates, mild intra- and interlobular. Acinar atrophy mild with moderate ectasia. Fibrosis is robust between lobules and loss of lobules with acinar ductal metaplasia and fatty replacement observed throughout.</t>
  </si>
  <si>
    <t>Negative for SARS-CoV-2 PCR testing from nasopharyngeal swab and bronchoalveolar lavage. *Insulin autoantibody (mIAA) is an important marker of islet autoimmunity and is utilized in confirmation of type 1 diabetes diagnosis. However, assay specificity, after a person has been on exogenous insulin for more than 10 days, is no longer able to distinguish insulin autoantibodies from insulin antibodies which form in over 40% of patients treated with subcutaneous insulin (S.E. Fineberg et al. Immunogenicity of Human Insulin. Diabetologia (1983) 25:465-469). mIAA is not a reliable marker of autoimmunity after a donor has been on insulin therapy for more than 10 days.</t>
  </si>
  <si>
    <t>A*01:01,03:01 B*08:01,15:01 DRB1*03:01,04:01 DQA1*05:01,03:01 DQB1*02:01,03:02</t>
  </si>
  <si>
    <t>A*01/03, B*08/62, DR*17/04, DQ*02/08</t>
  </si>
  <si>
    <t>HPAP030</t>
  </si>
  <si>
    <t>Donor had a clinical history of autoimmune polyglandular failure, including T1D (diagnosed 5 years prior to admission), Addison’s disease, and hypothyroidism. Clinical history also significant for autism, asthma, celiac disease, depression, and seizure disorder related to adrenal insufficiency. Donor had numerous hospitalizations for DKA due to non-compliance with insulin, and typically had an HbA1c above 14%. No known family history.</t>
  </si>
  <si>
    <t>Ins+/Gluc+ islets, numerous including single beta-cells and clusters. Variable numbers of beta-cells within islets from 100% to greatly reduced. Spherical to irregular profiles. Insulitis observed- mild, diffuse with &lt;10 CD3+ cells in 3 islets (2 sections). Ins- islets also present in varying distributions and mostly small to medium sizes. Mild acinar atrophy and periductal and perilobular fibrosis. Variable lobular fatty infiltration, mild.</t>
  </si>
  <si>
    <t>Processed by UPenn for Human Pancreas Analysis Program. No islet isolation performed due to open intestine during recovery. Fixed pancreatic tissue sent to Gainesville.</t>
  </si>
  <si>
    <t>A*02/25, B*07/35, DR*14/04, DQ*02/08</t>
  </si>
  <si>
    <t>Condition</t>
  </si>
  <si>
    <t>T1D</t>
  </si>
  <si>
    <t>ND</t>
  </si>
  <si>
    <t>All T1D Donor Information</t>
  </si>
  <si>
    <t>All ND Donor Information</t>
  </si>
  <si>
    <t> Ins+/Gluc islets, mostly small, numerous islets. Moderate acinar and islet Ki67+. PLN and intrapancreatic lymphoid tissues. No CD3 infiltrates.</t>
  </si>
  <si>
    <t>Donor had history of possible hypospadias, jaundice at birth, an previous skull fracture. Donor family had history of diabetes, (maternal great grandmother Type 2, maternal grandmother Type 1 treated with insulin).</t>
  </si>
  <si>
    <t>A*03:01,11:01</t>
  </si>
  <si>
    <t>DRB1*14:01,15:01</t>
  </si>
  <si>
    <t>DQA1*01:01,01:02</t>
  </si>
  <si>
    <t>DQB1*05:03,06:02</t>
  </si>
  <si>
    <t>A*03/11 B*47/60 DR*14/15 DQ*05/06</t>
  </si>
  <si>
    <t>Sex</t>
  </si>
  <si>
    <t>Native American</t>
  </si>
  <si>
    <t>Donor was born at 39-40 weeks gestation and suffered severe neurological injury from anoxic birth (placental abruption) that required emergency Cesarean section.</t>
  </si>
  <si>
    <t>Ins+/Gluc+ islets, clusters, single cells. Well formed acini and lobules throughout. Very high Ki67 acini and islets. No lymphoid aggregates within acini.</t>
  </si>
  <si>
    <t>A*32:01,68:02 DRB1*03:01,13:01 DQA1*01:03,05:01 DQB1*02:01,06:03</t>
  </si>
  <si>
    <t>Donor had history of Genital Warts. Surgical report notes hematoma on head of the pancreas.</t>
  </si>
  <si>
    <t>Ins+/Gluc+ islets present in normal numbers. No major abnormalities observed.</t>
  </si>
  <si>
    <t>A*01:01 , 32:01 DRB1*03:01 , 15:01 DQA1*01:02 , 05:01 DQB1*02:01 , 06:02</t>
  </si>
  <si>
    <t>A*01/32, B*08/44, DR*15/17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</si>
</sst>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6"/>
      <color theme="1"/>
      <name val="Aptos Narrow"/>
      <family val="2"/>
      <scheme val="minor"/>
    </font>
    <font>
      <sz val="12"/>
      <color rgb="FF000000"/>
      <name val="Aptos Narrow"/>
      <family val="2"/>
      <scheme val="minor"/>
    </font>
    <font>
      <sz val="12"/>
      <color theme="1"/>
      <name val="Calibri"/>
      <family val="2"/>
    </font>
    <font>
      <sz val="12"/>
      <color theme="1"/>
      <name val="Arial"/>
      <family val="2"/>
    </font>
    <font>
      <sz val="12"/>
      <color theme="1"/>
      <name val="Aptos Narrow"/>
      <scheme val="minor"/>
    </font>
    <font>
      <sz val="12"/>
      <color rgb="FF1F1F1F"/>
      <name val="Aptos Narrow"/>
      <scheme val="minor"/>
    </font>
    <font>
      <sz val="12"/>
      <color rgb="FF000000"/>
      <name val="Aptos Narrow"/>
      <scheme val="minor"/>
    </font>
    <font>
      <b/>
      <u/>
      <sz val="12"/>
      <color theme="1"/>
      <name val="Calibri"/>
      <family val="2"/>
    </font>
    <font>
      <sz val="12"/>
      <color rgb="FF000000"/>
      <name val="Arial"/>
      <family val="2"/>
    </font>
  </fonts>
  <fills count="4">
    <fill>
      <patternFill patternType="none"/>
    </fill>
    <fill>
      <patternFill patternType="gray125"/>
    </fill>
    <fill>
      <patternFill patternType="solid">
        <fgColor theme="0"/>
        <bgColor indexed="64"/>
      </patternFill>
    </fill>
    <fill>
      <patternFill patternType="solid">
        <fgColor theme="2" tint="-0.249977111117893"/>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0" fillId="3" borderId="1" xfId="0" applyFill="1" applyBorder="1"/>
    <xf numFmtId="0" fontId="0" fillId="0" borderId="0" xfId="0" applyAlignment="1">
      <alignment horizontal="center"/>
    </xf>
    <xf numFmtId="0" fontId="3"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0" fillId="0" borderId="0" xfId="0" applyAlignment="1">
      <alignment wrapText="1"/>
    </xf>
    <xf numFmtId="0" fontId="5" fillId="3" borderId="1" xfId="0" applyFont="1" applyFill="1" applyBorder="1"/>
    <xf numFmtId="0" fontId="5" fillId="3" borderId="2" xfId="0" applyFont="1" applyFill="1" applyBorder="1"/>
    <xf numFmtId="0" fontId="5" fillId="3" borderId="3" xfId="0" applyFont="1" applyFill="1" applyBorder="1"/>
    <xf numFmtId="0" fontId="5" fillId="3" borderId="4" xfId="0" applyFont="1" applyFill="1" applyBorder="1"/>
    <xf numFmtId="0" fontId="5" fillId="0" borderId="0" xfId="0" applyFont="1"/>
    <xf numFmtId="0" fontId="5" fillId="0" borderId="0" xfId="0" applyFont="1" applyAlignment="1">
      <alignment horizontal="center"/>
    </xf>
    <xf numFmtId="0" fontId="5" fillId="3" borderId="5" xfId="0" applyFont="1" applyFill="1" applyBorder="1"/>
    <xf numFmtId="0" fontId="5" fillId="0" borderId="8" xfId="0" applyFont="1" applyBorder="1" applyAlignment="1">
      <alignment horizontal="center"/>
    </xf>
    <xf numFmtId="0" fontId="5" fillId="0" borderId="6" xfId="0" applyFont="1" applyBorder="1" applyAlignment="1">
      <alignment horizontal="center"/>
    </xf>
    <xf numFmtId="0" fontId="5" fillId="0" borderId="6" xfId="0" applyFont="1" applyBorder="1"/>
    <xf numFmtId="0" fontId="5" fillId="0" borderId="6" xfId="0" applyFont="1" applyBorder="1" applyAlignment="1">
      <alignment wrapText="1"/>
    </xf>
    <xf numFmtId="0" fontId="6" fillId="0" borderId="6" xfId="0" applyFont="1" applyBorder="1"/>
    <xf numFmtId="0" fontId="5" fillId="0" borderId="9" xfId="0" applyFont="1" applyBorder="1" applyAlignment="1">
      <alignment horizontal="center"/>
    </xf>
    <xf numFmtId="0" fontId="5" fillId="0" borderId="9" xfId="0" applyFont="1" applyBorder="1"/>
    <xf numFmtId="0" fontId="5" fillId="0" borderId="10" xfId="0" applyFont="1" applyBorder="1" applyAlignment="1">
      <alignment horizontal="center"/>
    </xf>
    <xf numFmtId="0" fontId="7" fillId="0" borderId="10" xfId="0" applyFont="1" applyBorder="1" applyAlignment="1">
      <alignment horizontal="center"/>
    </xf>
    <xf numFmtId="0" fontId="5" fillId="0" borderId="1" xfId="0" applyFont="1" applyBorder="1" applyAlignment="1">
      <alignment horizontal="center"/>
    </xf>
    <xf numFmtId="0" fontId="7" fillId="0" borderId="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3" xfId="0" applyFont="1" applyBorder="1"/>
    <xf numFmtId="0" fontId="8" fillId="0" borderId="0" xfId="0" applyFont="1"/>
    <xf numFmtId="0" fontId="9" fillId="0" borderId="0" xfId="0" applyFont="1"/>
    <xf numFmtId="0" fontId="5" fillId="0" borderId="14" xfId="0" applyFont="1" applyBorder="1"/>
    <xf numFmtId="0" fontId="1" fillId="2" borderId="7" xfId="0" applyFont="1" applyFill="1" applyBorder="1" applyAlignment="1">
      <alignment horizontal="center"/>
    </xf>
    <xf numFmtId="0" fontId="1" fillId="2" borderId="11" xfId="0" applyFont="1" applyFill="1" applyBorder="1" applyAlignment="1">
      <alignment horizontal="center"/>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F842-B297-274F-9817-9121333C5820}">
  <dimension ref="A1:Y1066"/>
  <sheetViews>
    <sheetView zoomScale="88" zoomScaleNormal="120" workbookViewId="0">
      <pane xSplit="1" ySplit="2" topLeftCell="B3" activePane="bottomRight" state="frozen"/>
      <selection pane="topRight" activeCell="B1" sqref="B1"/>
      <selection pane="bottomLeft" activeCell="A3" sqref="A3"/>
      <selection pane="bottomRight" activeCell="A22" sqref="A22:XFD22"/>
    </sheetView>
  </sheetViews>
  <sheetFormatPr defaultColWidth="11" defaultRowHeight="15.75" x14ac:dyDescent="0.25"/>
  <cols>
    <col min="3" max="3" width="26.125" bestFit="1" customWidth="1"/>
    <col min="5" max="5" width="13.375" bestFit="1" customWidth="1"/>
    <col min="6" max="6" width="20.125" bestFit="1" customWidth="1"/>
    <col min="8" max="8" width="14.875" bestFit="1" customWidth="1"/>
    <col min="9" max="9" width="12" bestFit="1" customWidth="1"/>
    <col min="12" max="12" width="13.625" bestFit="1" customWidth="1"/>
    <col min="13" max="13" width="13.375" bestFit="1" customWidth="1"/>
    <col min="14" max="14" width="17.625" bestFit="1" customWidth="1"/>
    <col min="16" max="16" width="13.125" bestFit="1" customWidth="1"/>
    <col min="17" max="17" width="13.875" customWidth="1"/>
    <col min="18" max="18" width="14" bestFit="1" customWidth="1"/>
  </cols>
  <sheetData>
    <row r="1" spans="1:25" ht="21.75" thickBot="1" x14ac:dyDescent="0.4">
      <c r="A1" s="32" t="s">
        <v>332</v>
      </c>
      <c r="B1" s="33"/>
      <c r="C1" s="33"/>
      <c r="D1" s="33"/>
      <c r="E1" s="33"/>
      <c r="F1" s="33"/>
      <c r="G1" s="33"/>
      <c r="H1" s="33"/>
      <c r="I1" s="33"/>
      <c r="J1" s="33"/>
      <c r="K1" s="33"/>
      <c r="L1" s="33"/>
      <c r="M1" s="33"/>
      <c r="N1" s="33"/>
      <c r="O1" s="33"/>
      <c r="P1" s="33"/>
      <c r="Q1" s="33"/>
      <c r="R1" s="33"/>
      <c r="W1" s="3"/>
    </row>
    <row r="2" spans="1:25" s="12" customFormat="1" ht="16.5" thickBot="1" x14ac:dyDescent="0.3">
      <c r="A2" s="8" t="s">
        <v>0</v>
      </c>
      <c r="B2" s="14" t="s">
        <v>510</v>
      </c>
      <c r="C2" s="9" t="s">
        <v>1</v>
      </c>
      <c r="D2" s="10" t="s">
        <v>2</v>
      </c>
      <c r="E2" s="10" t="s">
        <v>3</v>
      </c>
      <c r="F2" s="10" t="s">
        <v>4</v>
      </c>
      <c r="G2" s="10" t="s">
        <v>522</v>
      </c>
      <c r="H2" s="10" t="s">
        <v>6</v>
      </c>
      <c r="I2" s="10" t="s">
        <v>7</v>
      </c>
      <c r="J2" s="10" t="s">
        <v>8</v>
      </c>
      <c r="K2" s="10" t="s">
        <v>9</v>
      </c>
      <c r="L2" s="10" t="s">
        <v>10</v>
      </c>
      <c r="M2" s="10" t="s">
        <v>11</v>
      </c>
      <c r="N2" s="10" t="s">
        <v>12</v>
      </c>
      <c r="O2" s="10" t="s">
        <v>13</v>
      </c>
      <c r="P2" s="10" t="s">
        <v>14</v>
      </c>
      <c r="Q2" s="10" t="s">
        <v>15</v>
      </c>
      <c r="R2" s="11" t="s">
        <v>16</v>
      </c>
      <c r="T2" s="29"/>
      <c r="W2" s="3"/>
    </row>
    <row r="3" spans="1:25" s="12" customFormat="1" ht="15.95" customHeight="1" thickBot="1" x14ac:dyDescent="0.3">
      <c r="A3" s="24">
        <v>5000</v>
      </c>
      <c r="B3" s="15" t="s">
        <v>511</v>
      </c>
      <c r="C3" s="20" t="s">
        <v>352</v>
      </c>
      <c r="D3" s="20">
        <v>18.760000000000002</v>
      </c>
      <c r="E3" s="20"/>
      <c r="F3" s="20">
        <v>2</v>
      </c>
      <c r="G3" s="20" t="s">
        <v>26</v>
      </c>
      <c r="H3" s="20" t="s">
        <v>19</v>
      </c>
      <c r="I3" s="20">
        <v>0.06</v>
      </c>
      <c r="J3" s="20">
        <v>10.3</v>
      </c>
      <c r="K3" s="20">
        <v>25.03</v>
      </c>
      <c r="L3" s="21" t="s">
        <v>353</v>
      </c>
      <c r="M3" s="21" t="s">
        <v>354</v>
      </c>
      <c r="N3" s="21" t="s">
        <v>355</v>
      </c>
      <c r="O3" s="21"/>
      <c r="P3" s="21" t="s">
        <v>356</v>
      </c>
      <c r="Q3" s="20" t="s">
        <v>24</v>
      </c>
      <c r="R3" s="20" t="s">
        <v>25</v>
      </c>
      <c r="T3" s="3"/>
      <c r="W3" s="3"/>
      <c r="Y3" s="3"/>
    </row>
    <row r="4" spans="1:25" s="12" customFormat="1" ht="16.5" thickBot="1" x14ac:dyDescent="0.3">
      <c r="A4" s="24">
        <v>6112</v>
      </c>
      <c r="B4" s="22" t="s">
        <v>512</v>
      </c>
      <c r="C4" s="16" t="s">
        <v>17</v>
      </c>
      <c r="D4" s="16">
        <v>6.3</v>
      </c>
      <c r="E4" s="16"/>
      <c r="F4" s="16">
        <v>0</v>
      </c>
      <c r="G4" s="16" t="s">
        <v>26</v>
      </c>
      <c r="H4" s="16" t="s">
        <v>54</v>
      </c>
      <c r="I4" s="16">
        <v>5.1100000000000003</v>
      </c>
      <c r="J4" s="16">
        <v>5.6</v>
      </c>
      <c r="K4" s="16">
        <v>18.399999999999999</v>
      </c>
      <c r="L4" s="17" t="s">
        <v>57</v>
      </c>
      <c r="M4" s="17" t="s">
        <v>58</v>
      </c>
      <c r="N4" s="17" t="s">
        <v>59</v>
      </c>
      <c r="O4" s="17" t="s">
        <v>60</v>
      </c>
      <c r="P4" s="17" t="s">
        <v>61</v>
      </c>
      <c r="Q4" s="16" t="s">
        <v>32</v>
      </c>
      <c r="R4" s="16" t="s">
        <v>25</v>
      </c>
      <c r="T4" s="3"/>
      <c r="W4" s="3"/>
      <c r="Y4" s="3"/>
    </row>
    <row r="5" spans="1:25" s="12" customFormat="1" ht="16.5" thickBot="1" x14ac:dyDescent="0.3">
      <c r="A5" s="24">
        <v>6117</v>
      </c>
      <c r="B5" s="22" t="s">
        <v>512</v>
      </c>
      <c r="C5" s="16" t="s">
        <v>17</v>
      </c>
      <c r="D5" s="16">
        <v>0.33</v>
      </c>
      <c r="E5" s="16"/>
      <c r="F5" s="16">
        <v>0</v>
      </c>
      <c r="G5" s="16" t="s">
        <v>18</v>
      </c>
      <c r="H5" s="16" t="s">
        <v>19</v>
      </c>
      <c r="I5" s="16">
        <v>3.27</v>
      </c>
      <c r="J5" s="16" t="s">
        <v>55</v>
      </c>
      <c r="K5" s="16">
        <v>18.399999999999999</v>
      </c>
      <c r="L5" s="17" t="s">
        <v>62</v>
      </c>
      <c r="M5" s="17" t="s">
        <v>63</v>
      </c>
      <c r="N5" s="17"/>
      <c r="O5" s="17" t="s">
        <v>64</v>
      </c>
      <c r="P5" s="17" t="s">
        <v>65</v>
      </c>
      <c r="Q5" s="16" t="s">
        <v>32</v>
      </c>
      <c r="R5" s="16" t="s">
        <v>25</v>
      </c>
      <c r="T5" s="3"/>
      <c r="W5" s="3"/>
    </row>
    <row r="6" spans="1:25" s="12" customFormat="1" ht="15.95" customHeight="1" thickBot="1" x14ac:dyDescent="0.3">
      <c r="A6" s="24">
        <v>6122</v>
      </c>
      <c r="B6" s="22" t="s">
        <v>512</v>
      </c>
      <c r="C6" s="16" t="s">
        <v>17</v>
      </c>
      <c r="D6" s="16">
        <v>0.42</v>
      </c>
      <c r="E6" s="16"/>
      <c r="F6" s="16">
        <v>0</v>
      </c>
      <c r="G6" s="16" t="s">
        <v>26</v>
      </c>
      <c r="H6" s="16" t="s">
        <v>66</v>
      </c>
      <c r="I6" s="16">
        <v>0.34</v>
      </c>
      <c r="J6" s="16" t="s">
        <v>55</v>
      </c>
      <c r="K6" s="16">
        <v>13.8</v>
      </c>
      <c r="L6" s="17" t="s">
        <v>67</v>
      </c>
      <c r="M6" s="17" t="s">
        <v>68</v>
      </c>
      <c r="N6" s="17" t="s">
        <v>69</v>
      </c>
      <c r="O6" s="17" t="s">
        <v>70</v>
      </c>
      <c r="P6" s="17" t="s">
        <v>71</v>
      </c>
      <c r="Q6" s="16" t="s">
        <v>32</v>
      </c>
      <c r="R6" s="16" t="s">
        <v>25</v>
      </c>
      <c r="T6" s="3"/>
      <c r="W6" s="3"/>
    </row>
    <row r="7" spans="1:25" s="12" customFormat="1" ht="15.95" customHeight="1" thickBot="1" x14ac:dyDescent="0.3">
      <c r="A7" s="24">
        <v>6162</v>
      </c>
      <c r="B7" s="22" t="s">
        <v>512</v>
      </c>
      <c r="C7" s="16" t="s">
        <v>17</v>
      </c>
      <c r="D7" s="16">
        <v>22.7</v>
      </c>
      <c r="E7" s="16"/>
      <c r="F7" s="16">
        <v>0</v>
      </c>
      <c r="G7" s="16" t="s">
        <v>18</v>
      </c>
      <c r="H7" s="16" t="s">
        <v>33</v>
      </c>
      <c r="I7" s="16">
        <v>7.61</v>
      </c>
      <c r="J7" s="16" t="s">
        <v>55</v>
      </c>
      <c r="K7" s="16">
        <v>28.9</v>
      </c>
      <c r="L7" s="17" t="s">
        <v>147</v>
      </c>
      <c r="M7" s="17" t="s">
        <v>148</v>
      </c>
      <c r="N7" s="17"/>
      <c r="O7" s="18" t="s">
        <v>149</v>
      </c>
      <c r="P7" s="17" t="s">
        <v>150</v>
      </c>
      <c r="Q7" s="16" t="s">
        <v>32</v>
      </c>
      <c r="R7" s="16" t="s">
        <v>25</v>
      </c>
      <c r="T7" s="6"/>
      <c r="W7" s="6"/>
    </row>
    <row r="8" spans="1:25" s="12" customFormat="1" ht="16.5" thickBot="1" x14ac:dyDescent="0.3">
      <c r="A8" s="24">
        <v>6178</v>
      </c>
      <c r="B8" s="22" t="s">
        <v>512</v>
      </c>
      <c r="C8" s="16" t="s">
        <v>17</v>
      </c>
      <c r="D8" s="16">
        <v>24.5</v>
      </c>
      <c r="E8" s="16"/>
      <c r="F8" s="16">
        <v>0</v>
      </c>
      <c r="G8" s="16" t="s">
        <v>26</v>
      </c>
      <c r="H8" s="16" t="s">
        <v>19</v>
      </c>
      <c r="I8" s="16">
        <v>4.55</v>
      </c>
      <c r="J8" s="16">
        <v>5</v>
      </c>
      <c r="K8" s="16">
        <v>27.5</v>
      </c>
      <c r="L8" s="17" t="s">
        <v>151</v>
      </c>
      <c r="M8" s="17" t="s">
        <v>152</v>
      </c>
      <c r="N8" s="17"/>
      <c r="O8" s="17" t="s">
        <v>153</v>
      </c>
      <c r="P8" s="17" t="s">
        <v>154</v>
      </c>
      <c r="Q8" s="16" t="s">
        <v>24</v>
      </c>
      <c r="R8" s="16" t="s">
        <v>25</v>
      </c>
      <c r="T8" s="3"/>
      <c r="W8" s="3"/>
    </row>
    <row r="9" spans="1:25" s="12" customFormat="1" ht="16.5" thickBot="1" x14ac:dyDescent="0.3">
      <c r="A9" s="24">
        <v>6179</v>
      </c>
      <c r="B9" s="22" t="s">
        <v>512</v>
      </c>
      <c r="C9" s="16" t="s">
        <v>17</v>
      </c>
      <c r="D9" s="16">
        <v>10</v>
      </c>
      <c r="E9" s="16"/>
      <c r="F9" s="16">
        <v>0</v>
      </c>
      <c r="G9" s="16" t="s">
        <v>26</v>
      </c>
      <c r="H9" s="16" t="s">
        <v>19</v>
      </c>
      <c r="I9" s="16">
        <v>2.74</v>
      </c>
      <c r="J9" s="16" t="s">
        <v>146</v>
      </c>
      <c r="K9" s="16">
        <v>20.7</v>
      </c>
      <c r="L9" s="17" t="s">
        <v>155</v>
      </c>
      <c r="M9" s="17" t="s">
        <v>156</v>
      </c>
      <c r="N9" s="17"/>
      <c r="O9" s="17" t="s">
        <v>157</v>
      </c>
      <c r="P9" s="17" t="s">
        <v>158</v>
      </c>
      <c r="Q9" s="16" t="s">
        <v>32</v>
      </c>
      <c r="R9" s="16" t="s">
        <v>25</v>
      </c>
      <c r="T9" s="3"/>
      <c r="W9" s="3"/>
    </row>
    <row r="10" spans="1:25" s="12" customFormat="1" ht="16.5" thickBot="1" x14ac:dyDescent="0.3">
      <c r="A10" s="24">
        <v>6180</v>
      </c>
      <c r="B10" s="22" t="s">
        <v>511</v>
      </c>
      <c r="C10" s="16" t="s">
        <v>403</v>
      </c>
      <c r="D10" s="16">
        <v>27.1</v>
      </c>
      <c r="E10" s="16"/>
      <c r="F10" s="16">
        <v>11</v>
      </c>
      <c r="G10" s="16" t="s">
        <v>18</v>
      </c>
      <c r="H10" s="16" t="s">
        <v>19</v>
      </c>
      <c r="I10" s="16" t="s">
        <v>404</v>
      </c>
      <c r="J10" s="16" t="s">
        <v>146</v>
      </c>
      <c r="K10" s="16">
        <v>25.9</v>
      </c>
      <c r="L10" s="17" t="s">
        <v>405</v>
      </c>
      <c r="M10" s="17" t="s">
        <v>406</v>
      </c>
      <c r="N10" s="17" t="s">
        <v>407</v>
      </c>
      <c r="O10" s="17" t="s">
        <v>408</v>
      </c>
      <c r="P10" s="17" t="s">
        <v>409</v>
      </c>
      <c r="Q10" s="16" t="s">
        <v>32</v>
      </c>
      <c r="R10" s="16" t="s">
        <v>25</v>
      </c>
      <c r="T10" s="3"/>
      <c r="W10" s="3"/>
    </row>
    <row r="11" spans="1:25" s="12" customFormat="1" ht="16.5" thickBot="1" x14ac:dyDescent="0.3">
      <c r="A11" s="24">
        <v>6234</v>
      </c>
      <c r="B11" s="22" t="s">
        <v>512</v>
      </c>
      <c r="C11" s="16" t="s">
        <v>17</v>
      </c>
      <c r="D11" s="16">
        <v>20</v>
      </c>
      <c r="E11" s="16"/>
      <c r="F11" s="16">
        <v>0</v>
      </c>
      <c r="G11" s="16" t="s">
        <v>26</v>
      </c>
      <c r="H11" s="16" t="s">
        <v>19</v>
      </c>
      <c r="I11" s="16">
        <v>6.89</v>
      </c>
      <c r="J11" s="16">
        <v>5.8</v>
      </c>
      <c r="K11" s="16">
        <v>25.6</v>
      </c>
      <c r="L11" s="17" t="s">
        <v>159</v>
      </c>
      <c r="M11" s="17" t="s">
        <v>160</v>
      </c>
      <c r="N11" s="17"/>
      <c r="O11" s="17" t="s">
        <v>161</v>
      </c>
      <c r="P11" s="17" t="s">
        <v>162</v>
      </c>
      <c r="Q11" s="16" t="s">
        <v>32</v>
      </c>
      <c r="R11" s="16" t="s">
        <v>25</v>
      </c>
      <c r="T11" s="3"/>
      <c r="W11" s="3"/>
    </row>
    <row r="12" spans="1:25" s="12" customFormat="1" ht="16.5" thickBot="1" x14ac:dyDescent="0.3">
      <c r="A12" s="24">
        <v>6250</v>
      </c>
      <c r="B12" s="22" t="s">
        <v>512</v>
      </c>
      <c r="C12" s="16" t="s">
        <v>17</v>
      </c>
      <c r="D12" s="16">
        <v>40</v>
      </c>
      <c r="E12" s="16"/>
      <c r="F12" s="16"/>
      <c r="G12" s="16" t="s">
        <v>18</v>
      </c>
      <c r="H12" s="16" t="s">
        <v>19</v>
      </c>
      <c r="I12" s="16">
        <v>7.31</v>
      </c>
      <c r="J12" s="16"/>
      <c r="K12" s="16">
        <v>27.9</v>
      </c>
      <c r="L12" s="17" t="s">
        <v>527</v>
      </c>
      <c r="M12" s="17" t="s">
        <v>528</v>
      </c>
      <c r="N12" s="17"/>
      <c r="O12" s="17" t="s">
        <v>529</v>
      </c>
      <c r="P12" s="17" t="s">
        <v>530</v>
      </c>
      <c r="Q12" s="16" t="s">
        <v>32</v>
      </c>
      <c r="R12" s="16" t="s">
        <v>25</v>
      </c>
      <c r="T12" s="3"/>
      <c r="W12" s="3"/>
    </row>
    <row r="13" spans="1:25" s="12" customFormat="1" ht="16.5" thickBot="1" x14ac:dyDescent="0.3">
      <c r="A13" s="24">
        <v>6294</v>
      </c>
      <c r="B13" s="22" t="s">
        <v>512</v>
      </c>
      <c r="C13" s="16" t="s">
        <v>72</v>
      </c>
      <c r="D13" s="16">
        <v>1.5</v>
      </c>
      <c r="E13" s="16"/>
      <c r="F13" s="16">
        <v>0</v>
      </c>
      <c r="G13" s="16" t="s">
        <v>18</v>
      </c>
      <c r="H13" s="16" t="s">
        <v>523</v>
      </c>
      <c r="I13" s="16" t="s">
        <v>72</v>
      </c>
      <c r="J13" s="16" t="s">
        <v>55</v>
      </c>
      <c r="K13" s="16">
        <v>20.8</v>
      </c>
      <c r="L13" s="17" t="s">
        <v>73</v>
      </c>
      <c r="M13" s="17" t="s">
        <v>74</v>
      </c>
      <c r="N13" s="17"/>
      <c r="O13" s="17" t="s">
        <v>75</v>
      </c>
      <c r="P13" s="17" t="s">
        <v>76</v>
      </c>
      <c r="Q13" s="16" t="s">
        <v>24</v>
      </c>
      <c r="R13" s="16" t="s">
        <v>25</v>
      </c>
      <c r="T13" s="3"/>
      <c r="W13" s="3"/>
    </row>
    <row r="14" spans="1:25" s="12" customFormat="1" ht="16.5" thickBot="1" x14ac:dyDescent="0.3">
      <c r="A14" s="24">
        <v>6305</v>
      </c>
      <c r="B14" s="22" t="s">
        <v>512</v>
      </c>
      <c r="C14" s="16" t="s">
        <v>17</v>
      </c>
      <c r="D14" s="16">
        <v>0.25</v>
      </c>
      <c r="E14" s="16"/>
      <c r="F14" s="16">
        <v>0</v>
      </c>
      <c r="G14" s="16" t="s">
        <v>18</v>
      </c>
      <c r="H14" s="16" t="s">
        <v>19</v>
      </c>
      <c r="I14" s="16">
        <v>6.18</v>
      </c>
      <c r="J14" s="16" t="s">
        <v>55</v>
      </c>
      <c r="K14" s="16">
        <v>20.8</v>
      </c>
      <c r="L14" s="17" t="s">
        <v>77</v>
      </c>
      <c r="M14" s="17" t="s">
        <v>78</v>
      </c>
      <c r="N14" s="17"/>
      <c r="O14" s="17" t="s">
        <v>79</v>
      </c>
      <c r="P14" s="17" t="s">
        <v>80</v>
      </c>
      <c r="Q14" s="16" t="s">
        <v>24</v>
      </c>
      <c r="R14" s="16" t="s">
        <v>25</v>
      </c>
      <c r="T14" s="3"/>
      <c r="W14" s="3"/>
    </row>
    <row r="15" spans="1:25" s="12" customFormat="1" ht="16.5" thickBot="1" x14ac:dyDescent="0.3">
      <c r="A15" s="24">
        <v>6309</v>
      </c>
      <c r="B15" s="22" t="s">
        <v>512</v>
      </c>
      <c r="C15" s="16" t="s">
        <v>17</v>
      </c>
      <c r="D15" s="16">
        <v>0.3</v>
      </c>
      <c r="E15" s="16"/>
      <c r="F15" s="16">
        <v>0</v>
      </c>
      <c r="G15" s="16" t="s">
        <v>18</v>
      </c>
      <c r="H15" s="16" t="s">
        <v>33</v>
      </c>
      <c r="I15" s="16">
        <v>18.079999999999998</v>
      </c>
      <c r="J15" s="16" t="s">
        <v>55</v>
      </c>
      <c r="K15" s="16">
        <v>11.1</v>
      </c>
      <c r="L15" s="17" t="s">
        <v>81</v>
      </c>
      <c r="M15" s="17" t="s">
        <v>82</v>
      </c>
      <c r="N15" s="17"/>
      <c r="O15" s="17" t="s">
        <v>83</v>
      </c>
      <c r="P15" s="17" t="s">
        <v>84</v>
      </c>
      <c r="Q15" s="16" t="s">
        <v>32</v>
      </c>
      <c r="R15" s="16" t="s">
        <v>25</v>
      </c>
      <c r="T15" s="3"/>
      <c r="W15" s="3"/>
    </row>
    <row r="16" spans="1:25" s="12" customFormat="1" ht="16.5" thickBot="1" x14ac:dyDescent="0.3">
      <c r="A16" s="24">
        <v>6313</v>
      </c>
      <c r="B16" s="22" t="s">
        <v>512</v>
      </c>
      <c r="C16" s="16" t="s">
        <v>17</v>
      </c>
      <c r="D16" s="16">
        <v>0.25</v>
      </c>
      <c r="E16" s="16"/>
      <c r="F16" s="16">
        <v>0</v>
      </c>
      <c r="G16" s="16" t="s">
        <v>18</v>
      </c>
      <c r="H16" s="16" t="s">
        <v>19</v>
      </c>
      <c r="I16" s="16">
        <v>1.1299999999999999</v>
      </c>
      <c r="J16" s="16" t="s">
        <v>55</v>
      </c>
      <c r="K16" s="16">
        <v>15.5</v>
      </c>
      <c r="L16" s="17" t="s">
        <v>516</v>
      </c>
      <c r="M16" s="17" t="s">
        <v>515</v>
      </c>
      <c r="N16" s="17"/>
      <c r="O16" s="17" t="s">
        <v>517</v>
      </c>
      <c r="P16" s="17" t="s">
        <v>521</v>
      </c>
      <c r="Q16" s="16" t="s">
        <v>24</v>
      </c>
      <c r="R16" s="16" t="s">
        <v>25</v>
      </c>
      <c r="T16" s="3"/>
      <c r="W16" s="3"/>
    </row>
    <row r="17" spans="1:23" s="12" customFormat="1" ht="16.5" thickBot="1" x14ac:dyDescent="0.3">
      <c r="A17" s="24">
        <v>6348</v>
      </c>
      <c r="B17" s="22" t="s">
        <v>512</v>
      </c>
      <c r="C17" s="16" t="s">
        <v>17</v>
      </c>
      <c r="D17" s="16">
        <v>0.03</v>
      </c>
      <c r="E17" s="16">
        <v>39</v>
      </c>
      <c r="F17" s="16">
        <v>0</v>
      </c>
      <c r="G17" s="16" t="s">
        <v>26</v>
      </c>
      <c r="H17" s="16" t="s">
        <v>33</v>
      </c>
      <c r="I17" s="16">
        <v>0.19</v>
      </c>
      <c r="J17" s="16" t="s">
        <v>55</v>
      </c>
      <c r="K17" s="16">
        <v>11.9</v>
      </c>
      <c r="L17" s="17" t="s">
        <v>524</v>
      </c>
      <c r="M17" s="17" t="s">
        <v>525</v>
      </c>
      <c r="N17" s="17"/>
      <c r="O17" s="31" t="s">
        <v>526</v>
      </c>
      <c r="P17" s="17"/>
      <c r="Q17" s="16" t="s">
        <v>85</v>
      </c>
      <c r="R17" s="16" t="s">
        <v>25</v>
      </c>
      <c r="T17" s="3"/>
      <c r="W17" s="3"/>
    </row>
    <row r="18" spans="1:23" s="12" customFormat="1" ht="16.5" thickBot="1" x14ac:dyDescent="0.3">
      <c r="A18" s="24">
        <v>6356</v>
      </c>
      <c r="B18" s="22" t="s">
        <v>512</v>
      </c>
      <c r="C18" s="16" t="s">
        <v>17</v>
      </c>
      <c r="D18" s="16">
        <v>1.58</v>
      </c>
      <c r="E18" s="16"/>
      <c r="F18" s="16">
        <v>0</v>
      </c>
      <c r="G18" s="16" t="s">
        <v>26</v>
      </c>
      <c r="H18" s="16" t="s">
        <v>19</v>
      </c>
      <c r="I18" s="16">
        <v>1.65</v>
      </c>
      <c r="J18" s="16">
        <v>5.3</v>
      </c>
      <c r="K18" s="16">
        <v>17.100000000000001</v>
      </c>
      <c r="L18" s="17" t="s">
        <v>86</v>
      </c>
      <c r="M18" s="17" t="s">
        <v>87</v>
      </c>
      <c r="N18" s="17"/>
      <c r="O18" s="30" t="s">
        <v>518</v>
      </c>
      <c r="P18" s="17" t="s">
        <v>89</v>
      </c>
      <c r="Q18" s="16" t="s">
        <v>32</v>
      </c>
      <c r="R18" s="16" t="s">
        <v>25</v>
      </c>
      <c r="T18" s="3"/>
      <c r="W18" s="3"/>
    </row>
    <row r="19" spans="1:23" s="12" customFormat="1" ht="16.5" thickBot="1" x14ac:dyDescent="0.3">
      <c r="A19" s="24">
        <v>6357</v>
      </c>
      <c r="B19" s="22" t="s">
        <v>512</v>
      </c>
      <c r="C19" s="16" t="s">
        <v>17</v>
      </c>
      <c r="D19" s="16">
        <v>5</v>
      </c>
      <c r="E19" s="16"/>
      <c r="F19" s="16">
        <v>0</v>
      </c>
      <c r="G19" s="16" t="s">
        <v>18</v>
      </c>
      <c r="H19" s="16" t="s">
        <v>19</v>
      </c>
      <c r="I19" s="16">
        <v>8.82</v>
      </c>
      <c r="J19" s="16" t="s">
        <v>55</v>
      </c>
      <c r="K19" s="16">
        <v>15.3</v>
      </c>
      <c r="L19" s="17" t="s">
        <v>90</v>
      </c>
      <c r="M19" s="17" t="s">
        <v>91</v>
      </c>
      <c r="N19" s="17" t="s">
        <v>92</v>
      </c>
      <c r="O19" s="30" t="s">
        <v>519</v>
      </c>
      <c r="P19" s="17" t="s">
        <v>94</v>
      </c>
      <c r="Q19" s="16" t="s">
        <v>32</v>
      </c>
      <c r="R19" s="16" t="s">
        <v>25</v>
      </c>
      <c r="T19" s="3"/>
      <c r="W19" s="3"/>
    </row>
    <row r="20" spans="1:23" s="12" customFormat="1" ht="17.100000000000001" customHeight="1" thickBot="1" x14ac:dyDescent="0.3">
      <c r="A20" s="24">
        <v>6362</v>
      </c>
      <c r="B20" s="22" t="s">
        <v>511</v>
      </c>
      <c r="C20" s="16" t="s">
        <v>374</v>
      </c>
      <c r="D20" s="16">
        <v>24.9</v>
      </c>
      <c r="E20" s="16"/>
      <c r="F20" s="16">
        <v>0</v>
      </c>
      <c r="G20" s="16" t="s">
        <v>18</v>
      </c>
      <c r="H20" s="16" t="s">
        <v>19</v>
      </c>
      <c r="I20" s="16">
        <v>0.38</v>
      </c>
      <c r="J20" s="16">
        <v>10</v>
      </c>
      <c r="K20" s="16">
        <v>28.5</v>
      </c>
      <c r="L20" s="17" t="s">
        <v>410</v>
      </c>
      <c r="M20" s="17" t="s">
        <v>411</v>
      </c>
      <c r="N20" s="17"/>
      <c r="O20" s="30" t="s">
        <v>520</v>
      </c>
      <c r="P20" s="17" t="s">
        <v>413</v>
      </c>
      <c r="Q20" s="16" t="s">
        <v>32</v>
      </c>
      <c r="R20" s="16" t="s">
        <v>85</v>
      </c>
      <c r="T20" s="3"/>
      <c r="W20" s="3"/>
    </row>
    <row r="21" spans="1:23" s="12" customFormat="1" ht="16.5" thickBot="1" x14ac:dyDescent="0.3">
      <c r="A21" s="24">
        <v>6366</v>
      </c>
      <c r="B21" s="22" t="s">
        <v>512</v>
      </c>
      <c r="C21" s="16" t="s">
        <v>17</v>
      </c>
      <c r="D21" s="16">
        <v>21</v>
      </c>
      <c r="E21" s="16"/>
      <c r="F21" s="16">
        <v>0</v>
      </c>
      <c r="G21" s="16" t="s">
        <v>26</v>
      </c>
      <c r="H21" s="16" t="s">
        <v>54</v>
      </c>
      <c r="I21" s="16">
        <v>0.41</v>
      </c>
      <c r="J21" s="16">
        <v>6.3</v>
      </c>
      <c r="K21" s="16">
        <v>20.5</v>
      </c>
      <c r="L21" s="17" t="s">
        <v>95</v>
      </c>
      <c r="M21" s="17" t="s">
        <v>96</v>
      </c>
      <c r="N21" s="17"/>
      <c r="O21" s="17" t="s">
        <v>97</v>
      </c>
      <c r="P21" s="17" t="s">
        <v>98</v>
      </c>
      <c r="Q21" s="16" t="s">
        <v>24</v>
      </c>
      <c r="R21" s="16" t="s">
        <v>25</v>
      </c>
      <c r="T21" s="3"/>
      <c r="W21" s="3"/>
    </row>
    <row r="22" spans="1:23" s="12" customFormat="1" ht="17.100000000000001" customHeight="1" thickBot="1" x14ac:dyDescent="0.3">
      <c r="A22" s="24">
        <v>6401</v>
      </c>
      <c r="B22" s="22" t="s">
        <v>512</v>
      </c>
      <c r="C22" s="16" t="s">
        <v>17</v>
      </c>
      <c r="D22" s="16">
        <v>25.07</v>
      </c>
      <c r="E22" s="16"/>
      <c r="F22" s="16">
        <v>0</v>
      </c>
      <c r="G22" s="16" t="s">
        <v>26</v>
      </c>
      <c r="H22" s="16" t="s">
        <v>54</v>
      </c>
      <c r="I22" s="16">
        <v>12.81</v>
      </c>
      <c r="J22" s="16">
        <v>5.8</v>
      </c>
      <c r="K22" s="16">
        <v>31.3</v>
      </c>
      <c r="L22" s="17" t="s">
        <v>163</v>
      </c>
      <c r="M22" s="17" t="s">
        <v>164</v>
      </c>
      <c r="N22" s="17"/>
      <c r="O22" s="17" t="s">
        <v>165</v>
      </c>
      <c r="P22" s="17" t="s">
        <v>166</v>
      </c>
      <c r="Q22" s="16" t="s">
        <v>32</v>
      </c>
      <c r="R22" s="16" t="s">
        <v>25</v>
      </c>
      <c r="T22" s="3"/>
      <c r="W22" s="3"/>
    </row>
    <row r="23" spans="1:23" s="12" customFormat="1" ht="16.5" thickBot="1" x14ac:dyDescent="0.3">
      <c r="A23" s="24">
        <v>6405</v>
      </c>
      <c r="B23" s="22" t="s">
        <v>511</v>
      </c>
      <c r="C23" s="16" t="s">
        <v>414</v>
      </c>
      <c r="D23" s="16">
        <v>29.1</v>
      </c>
      <c r="E23" s="16"/>
      <c r="F23" s="16">
        <v>0.6</v>
      </c>
      <c r="G23" s="16" t="s">
        <v>26</v>
      </c>
      <c r="H23" s="16" t="s">
        <v>54</v>
      </c>
      <c r="I23" s="16">
        <v>1.84</v>
      </c>
      <c r="J23" s="16">
        <v>7</v>
      </c>
      <c r="K23" s="16">
        <v>42.5</v>
      </c>
      <c r="L23" s="17" t="s">
        <v>415</v>
      </c>
      <c r="M23" s="17" t="s">
        <v>416</v>
      </c>
      <c r="N23" s="17"/>
      <c r="O23" s="17" t="s">
        <v>417</v>
      </c>
      <c r="P23" s="17" t="s">
        <v>418</v>
      </c>
      <c r="Q23" s="16" t="s">
        <v>56</v>
      </c>
      <c r="R23" s="16" t="s">
        <v>25</v>
      </c>
      <c r="T23" s="3"/>
      <c r="W23" s="3"/>
    </row>
    <row r="24" spans="1:23" s="12" customFormat="1" ht="16.5" thickBot="1" x14ac:dyDescent="0.3">
      <c r="A24" s="24">
        <v>6412</v>
      </c>
      <c r="B24" s="22" t="s">
        <v>512</v>
      </c>
      <c r="C24" s="16" t="s">
        <v>17</v>
      </c>
      <c r="D24" s="16">
        <v>17.579999999999998</v>
      </c>
      <c r="E24" s="16"/>
      <c r="F24" s="16">
        <v>0</v>
      </c>
      <c r="G24" s="16" t="s">
        <v>26</v>
      </c>
      <c r="H24" s="16" t="s">
        <v>19</v>
      </c>
      <c r="I24" s="16">
        <v>45.57</v>
      </c>
      <c r="J24" s="16">
        <v>6.1</v>
      </c>
      <c r="K24" s="16">
        <v>24</v>
      </c>
      <c r="L24" s="17" t="s">
        <v>167</v>
      </c>
      <c r="M24" s="17" t="s">
        <v>168</v>
      </c>
      <c r="N24" s="17" t="s">
        <v>169</v>
      </c>
      <c r="O24" s="17" t="s">
        <v>170</v>
      </c>
      <c r="P24" s="17" t="s">
        <v>171</v>
      </c>
      <c r="Q24" s="16" t="s">
        <v>24</v>
      </c>
      <c r="R24" s="16" t="s">
        <v>25</v>
      </c>
      <c r="T24" s="3"/>
      <c r="W24" s="3"/>
    </row>
    <row r="25" spans="1:23" s="12" customFormat="1" ht="16.5" thickBot="1" x14ac:dyDescent="0.3">
      <c r="A25" s="24">
        <v>6413</v>
      </c>
      <c r="B25" s="22" t="s">
        <v>512</v>
      </c>
      <c r="C25" s="16" t="s">
        <v>17</v>
      </c>
      <c r="D25" s="16">
        <v>10.1</v>
      </c>
      <c r="E25" s="16"/>
      <c r="F25" s="16">
        <v>0</v>
      </c>
      <c r="G25" s="16" t="s">
        <v>26</v>
      </c>
      <c r="H25" s="16" t="s">
        <v>19</v>
      </c>
      <c r="I25" s="16">
        <v>5.27</v>
      </c>
      <c r="J25" s="16">
        <v>5.6</v>
      </c>
      <c r="K25" s="16">
        <v>19</v>
      </c>
      <c r="L25" s="17" t="s">
        <v>172</v>
      </c>
      <c r="M25" s="17" t="s">
        <v>173</v>
      </c>
      <c r="N25" s="17"/>
      <c r="O25" s="17" t="s">
        <v>174</v>
      </c>
      <c r="P25" s="19" t="s">
        <v>175</v>
      </c>
      <c r="Q25" s="16" t="s">
        <v>32</v>
      </c>
      <c r="R25" s="16" t="s">
        <v>25</v>
      </c>
      <c r="T25" s="3"/>
      <c r="W25" s="3"/>
    </row>
    <row r="26" spans="1:23" s="12" customFormat="1" ht="15.95" customHeight="1" thickBot="1" x14ac:dyDescent="0.3">
      <c r="A26" s="24">
        <v>6415</v>
      </c>
      <c r="B26" s="22" t="s">
        <v>512</v>
      </c>
      <c r="C26" s="16" t="s">
        <v>17</v>
      </c>
      <c r="D26" s="16">
        <v>10.9</v>
      </c>
      <c r="E26" s="16"/>
      <c r="F26" s="16">
        <v>0</v>
      </c>
      <c r="G26" s="16" t="s">
        <v>18</v>
      </c>
      <c r="H26" s="16" t="s">
        <v>33</v>
      </c>
      <c r="I26" s="16">
        <v>3.55</v>
      </c>
      <c r="J26" s="16">
        <v>5.9</v>
      </c>
      <c r="K26" s="16">
        <v>14.8</v>
      </c>
      <c r="L26" s="17" t="s">
        <v>176</v>
      </c>
      <c r="M26" s="17" t="s">
        <v>177</v>
      </c>
      <c r="N26" s="17"/>
      <c r="O26" s="17" t="s">
        <v>178</v>
      </c>
      <c r="P26" s="17" t="s">
        <v>179</v>
      </c>
      <c r="Q26" s="16" t="s">
        <v>24</v>
      </c>
      <c r="R26" s="16" t="s">
        <v>25</v>
      </c>
      <c r="T26" s="3"/>
      <c r="W26" s="3"/>
    </row>
    <row r="27" spans="1:23" s="12" customFormat="1" ht="16.5" thickBot="1" x14ac:dyDescent="0.3">
      <c r="A27" s="24">
        <v>6416</v>
      </c>
      <c r="B27" s="22" t="s">
        <v>512</v>
      </c>
      <c r="C27" s="16" t="s">
        <v>17</v>
      </c>
      <c r="D27" s="16">
        <v>12.08</v>
      </c>
      <c r="E27" s="16"/>
      <c r="F27" s="16">
        <v>0</v>
      </c>
      <c r="G27" s="16" t="s">
        <v>18</v>
      </c>
      <c r="H27" s="16" t="s">
        <v>19</v>
      </c>
      <c r="I27" s="16">
        <v>15.33</v>
      </c>
      <c r="J27" s="16">
        <v>5.4</v>
      </c>
      <c r="K27" s="16">
        <v>32.5</v>
      </c>
      <c r="L27" s="17" t="s">
        <v>180</v>
      </c>
      <c r="M27" s="17" t="s">
        <v>181</v>
      </c>
      <c r="N27" s="17"/>
      <c r="O27" s="17" t="s">
        <v>182</v>
      </c>
      <c r="P27" s="17" t="s">
        <v>183</v>
      </c>
      <c r="Q27" s="16" t="s">
        <v>184</v>
      </c>
      <c r="R27" s="16" t="s">
        <v>25</v>
      </c>
      <c r="T27" s="3"/>
      <c r="W27" s="3"/>
    </row>
    <row r="28" spans="1:23" s="12" customFormat="1" ht="17.100000000000001" customHeight="1" thickBot="1" x14ac:dyDescent="0.3">
      <c r="A28" s="24">
        <v>6417</v>
      </c>
      <c r="B28" s="22" t="s">
        <v>512</v>
      </c>
      <c r="C28" s="16" t="s">
        <v>17</v>
      </c>
      <c r="D28" s="16">
        <v>18.2</v>
      </c>
      <c r="E28" s="16"/>
      <c r="F28" s="16">
        <v>0</v>
      </c>
      <c r="G28" s="16" t="s">
        <v>26</v>
      </c>
      <c r="H28" s="16" t="s">
        <v>19</v>
      </c>
      <c r="I28" s="16">
        <v>3.94</v>
      </c>
      <c r="J28" s="16">
        <v>5.0999999999999996</v>
      </c>
      <c r="K28" s="16">
        <v>24.5</v>
      </c>
      <c r="L28" s="17" t="s">
        <v>185</v>
      </c>
      <c r="M28" s="17" t="s">
        <v>186</v>
      </c>
      <c r="N28" s="17" t="s">
        <v>187</v>
      </c>
      <c r="O28" s="17" t="s">
        <v>188</v>
      </c>
      <c r="P28" s="17" t="s">
        <v>189</v>
      </c>
      <c r="Q28" s="16" t="s">
        <v>32</v>
      </c>
      <c r="R28" s="16" t="s">
        <v>25</v>
      </c>
      <c r="T28" s="3"/>
      <c r="W28" s="3"/>
    </row>
    <row r="29" spans="1:23" s="12" customFormat="1" ht="16.5" thickBot="1" x14ac:dyDescent="0.3">
      <c r="A29" s="24">
        <v>6418</v>
      </c>
      <c r="B29" s="22" t="s">
        <v>511</v>
      </c>
      <c r="C29" s="16" t="s">
        <v>380</v>
      </c>
      <c r="D29" s="16">
        <v>26.4</v>
      </c>
      <c r="E29" s="16"/>
      <c r="F29" s="16">
        <v>11</v>
      </c>
      <c r="G29" s="16" t="s">
        <v>18</v>
      </c>
      <c r="H29" s="16" t="s">
        <v>19</v>
      </c>
      <c r="I29" s="16" t="s">
        <v>335</v>
      </c>
      <c r="J29" s="16">
        <v>7.5</v>
      </c>
      <c r="K29" s="16">
        <v>26.4</v>
      </c>
      <c r="L29" s="17" t="s">
        <v>419</v>
      </c>
      <c r="M29" s="17" t="s">
        <v>420</v>
      </c>
      <c r="N29" s="17" t="s">
        <v>407</v>
      </c>
      <c r="O29" s="17" t="s">
        <v>421</v>
      </c>
      <c r="P29" s="17" t="s">
        <v>422</v>
      </c>
      <c r="Q29" s="16" t="s">
        <v>24</v>
      </c>
      <c r="R29" s="16" t="s">
        <v>25</v>
      </c>
      <c r="T29" s="3"/>
      <c r="W29" s="3"/>
    </row>
    <row r="30" spans="1:23" s="12" customFormat="1" ht="16.5" thickBot="1" x14ac:dyDescent="0.3">
      <c r="A30" s="24">
        <v>6420</v>
      </c>
      <c r="B30" s="22" t="s">
        <v>512</v>
      </c>
      <c r="C30" s="16" t="s">
        <v>17</v>
      </c>
      <c r="D30" s="16">
        <v>11.5</v>
      </c>
      <c r="E30" s="16"/>
      <c r="F30" s="16">
        <v>0</v>
      </c>
      <c r="G30" s="16" t="s">
        <v>18</v>
      </c>
      <c r="H30" s="16" t="s">
        <v>19</v>
      </c>
      <c r="I30" s="16">
        <v>1.27</v>
      </c>
      <c r="J30" s="16">
        <v>5.2</v>
      </c>
      <c r="K30" s="16">
        <v>15.4</v>
      </c>
      <c r="L30" s="17" t="s">
        <v>190</v>
      </c>
      <c r="M30" s="17" t="s">
        <v>191</v>
      </c>
      <c r="N30" s="17"/>
      <c r="O30" s="17" t="s">
        <v>192</v>
      </c>
      <c r="P30" s="17" t="s">
        <v>193</v>
      </c>
      <c r="Q30" s="16" t="s">
        <v>24</v>
      </c>
      <c r="R30" s="16" t="s">
        <v>25</v>
      </c>
      <c r="T30" s="3"/>
      <c r="W30" s="3"/>
    </row>
    <row r="31" spans="1:23" s="12" customFormat="1" ht="16.5" thickBot="1" x14ac:dyDescent="0.3">
      <c r="A31" s="24">
        <v>6422</v>
      </c>
      <c r="B31" s="22" t="s">
        <v>511</v>
      </c>
      <c r="C31" s="16" t="s">
        <v>357</v>
      </c>
      <c r="D31" s="16">
        <v>22.8</v>
      </c>
      <c r="E31" s="16"/>
      <c r="F31" s="16">
        <v>21</v>
      </c>
      <c r="G31" s="16" t="s">
        <v>18</v>
      </c>
      <c r="H31" s="16" t="s">
        <v>19</v>
      </c>
      <c r="I31" s="16" t="s">
        <v>335</v>
      </c>
      <c r="J31" s="16">
        <v>7.1</v>
      </c>
      <c r="K31" s="16">
        <v>25.1</v>
      </c>
      <c r="L31" s="17" t="s">
        <v>423</v>
      </c>
      <c r="M31" s="17" t="s">
        <v>424</v>
      </c>
      <c r="N31" s="17" t="s">
        <v>425</v>
      </c>
      <c r="O31" s="17" t="s">
        <v>426</v>
      </c>
      <c r="P31" s="17" t="s">
        <v>427</v>
      </c>
      <c r="Q31" s="16" t="s">
        <v>24</v>
      </c>
      <c r="R31" s="16" t="s">
        <v>25</v>
      </c>
      <c r="T31" s="3"/>
      <c r="W31" s="3"/>
    </row>
    <row r="32" spans="1:23" s="12" customFormat="1" ht="16.5" thickBot="1" x14ac:dyDescent="0.3">
      <c r="A32" s="24">
        <v>6425</v>
      </c>
      <c r="B32" s="22" t="s">
        <v>512</v>
      </c>
      <c r="C32" s="16" t="s">
        <v>17</v>
      </c>
      <c r="D32" s="16">
        <v>38.659999999999997</v>
      </c>
      <c r="E32" s="16"/>
      <c r="F32" s="16">
        <v>0</v>
      </c>
      <c r="G32" s="16" t="s">
        <v>26</v>
      </c>
      <c r="H32" s="16" t="s">
        <v>19</v>
      </c>
      <c r="I32" s="16">
        <v>8.06</v>
      </c>
      <c r="J32" s="16">
        <v>6</v>
      </c>
      <c r="K32" s="16">
        <v>28.28</v>
      </c>
      <c r="L32" s="17" t="s">
        <v>194</v>
      </c>
      <c r="M32" s="17" t="s">
        <v>195</v>
      </c>
      <c r="N32" s="17"/>
      <c r="O32" s="17" t="s">
        <v>196</v>
      </c>
      <c r="P32" s="17" t="s">
        <v>197</v>
      </c>
      <c r="Q32" s="16" t="s">
        <v>24</v>
      </c>
      <c r="R32" s="16" t="s">
        <v>25</v>
      </c>
      <c r="T32" s="3"/>
      <c r="W32" s="3"/>
    </row>
    <row r="33" spans="1:23" s="12" customFormat="1" ht="16.5" thickBot="1" x14ac:dyDescent="0.3">
      <c r="A33" s="24">
        <v>6426</v>
      </c>
      <c r="B33" s="22" t="s">
        <v>512</v>
      </c>
      <c r="C33" s="16" t="s">
        <v>17</v>
      </c>
      <c r="D33" s="16">
        <v>2.06</v>
      </c>
      <c r="E33" s="16"/>
      <c r="F33" s="16">
        <v>0</v>
      </c>
      <c r="G33" s="16" t="s">
        <v>18</v>
      </c>
      <c r="H33" s="16" t="s">
        <v>19</v>
      </c>
      <c r="I33" s="16">
        <v>12.25</v>
      </c>
      <c r="J33" s="16">
        <v>5</v>
      </c>
      <c r="K33" s="16">
        <v>20.100000000000001</v>
      </c>
      <c r="L33" s="17" t="s">
        <v>198</v>
      </c>
      <c r="M33" s="17" t="s">
        <v>199</v>
      </c>
      <c r="N33" s="17"/>
      <c r="O33" s="17" t="s">
        <v>200</v>
      </c>
      <c r="P33" s="17" t="s">
        <v>201</v>
      </c>
      <c r="Q33" s="16" t="s">
        <v>24</v>
      </c>
      <c r="R33" s="16" t="s">
        <v>25</v>
      </c>
      <c r="T33" s="3"/>
      <c r="W33" s="3"/>
    </row>
    <row r="34" spans="1:23" s="12" customFormat="1" ht="16.5" thickBot="1" x14ac:dyDescent="0.3">
      <c r="A34" s="24">
        <v>6427</v>
      </c>
      <c r="B34" s="22" t="s">
        <v>512</v>
      </c>
      <c r="C34" s="16" t="s">
        <v>17</v>
      </c>
      <c r="D34" s="16">
        <v>10.3</v>
      </c>
      <c r="E34" s="16"/>
      <c r="F34" s="16">
        <v>0</v>
      </c>
      <c r="G34" s="16" t="s">
        <v>18</v>
      </c>
      <c r="H34" s="16" t="s">
        <v>19</v>
      </c>
      <c r="I34" s="16">
        <v>2.9</v>
      </c>
      <c r="J34" s="16">
        <v>6</v>
      </c>
      <c r="K34" s="16">
        <v>23.5</v>
      </c>
      <c r="L34" s="17" t="s">
        <v>202</v>
      </c>
      <c r="M34" s="17" t="s">
        <v>203</v>
      </c>
      <c r="N34" s="17" t="s">
        <v>204</v>
      </c>
      <c r="O34" s="17" t="s">
        <v>205</v>
      </c>
      <c r="P34" s="17" t="s">
        <v>206</v>
      </c>
      <c r="Q34" s="16" t="s">
        <v>32</v>
      </c>
      <c r="R34" s="16" t="s">
        <v>25</v>
      </c>
      <c r="T34" s="3"/>
      <c r="W34" s="3"/>
    </row>
    <row r="35" spans="1:23" s="12" customFormat="1" ht="16.5" thickBot="1" x14ac:dyDescent="0.3">
      <c r="A35" s="24">
        <v>6430</v>
      </c>
      <c r="B35" s="22" t="s">
        <v>512</v>
      </c>
      <c r="C35" s="16" t="s">
        <v>17</v>
      </c>
      <c r="D35" s="16">
        <v>27.1</v>
      </c>
      <c r="E35" s="16"/>
      <c r="F35" s="16">
        <v>0</v>
      </c>
      <c r="G35" s="16" t="s">
        <v>18</v>
      </c>
      <c r="H35" s="16" t="s">
        <v>19</v>
      </c>
      <c r="I35" s="16">
        <v>11.12</v>
      </c>
      <c r="J35" s="16">
        <v>5.8</v>
      </c>
      <c r="K35" s="16">
        <v>21.6</v>
      </c>
      <c r="L35" s="17" t="s">
        <v>207</v>
      </c>
      <c r="M35" s="17" t="s">
        <v>208</v>
      </c>
      <c r="N35" s="17"/>
      <c r="O35" s="17" t="s">
        <v>209</v>
      </c>
      <c r="P35" s="17" t="s">
        <v>210</v>
      </c>
      <c r="Q35" s="16" t="s">
        <v>24</v>
      </c>
      <c r="R35" s="16" t="s">
        <v>25</v>
      </c>
      <c r="T35" s="3"/>
      <c r="W35" s="3"/>
    </row>
    <row r="36" spans="1:23" s="12" customFormat="1" ht="16.5" thickBot="1" x14ac:dyDescent="0.3">
      <c r="A36" s="24">
        <v>6431</v>
      </c>
      <c r="B36" s="22" t="s">
        <v>512</v>
      </c>
      <c r="C36" s="16" t="s">
        <v>17</v>
      </c>
      <c r="D36" s="16">
        <v>13.8</v>
      </c>
      <c r="E36" s="16"/>
      <c r="F36" s="16">
        <v>0</v>
      </c>
      <c r="G36" s="16" t="s">
        <v>18</v>
      </c>
      <c r="H36" s="16" t="s">
        <v>19</v>
      </c>
      <c r="I36" s="16">
        <v>1.32</v>
      </c>
      <c r="J36" s="16">
        <v>5.4</v>
      </c>
      <c r="K36" s="16">
        <v>23.1</v>
      </c>
      <c r="L36" s="17" t="s">
        <v>99</v>
      </c>
      <c r="M36" s="17" t="s">
        <v>100</v>
      </c>
      <c r="N36" s="17"/>
      <c r="O36" s="17" t="s">
        <v>101</v>
      </c>
      <c r="P36" s="17" t="s">
        <v>102</v>
      </c>
      <c r="Q36" s="16" t="s">
        <v>24</v>
      </c>
      <c r="R36" s="16" t="s">
        <v>25</v>
      </c>
      <c r="T36" s="3"/>
      <c r="W36" s="3"/>
    </row>
    <row r="37" spans="1:23" s="12" customFormat="1" ht="16.5" thickBot="1" x14ac:dyDescent="0.3">
      <c r="A37" s="24">
        <v>6432</v>
      </c>
      <c r="B37" s="22" t="s">
        <v>511</v>
      </c>
      <c r="C37" s="16" t="s">
        <v>428</v>
      </c>
      <c r="D37" s="16">
        <v>16.559999999999999</v>
      </c>
      <c r="E37" s="16"/>
      <c r="F37" s="16">
        <v>13</v>
      </c>
      <c r="G37" s="16" t="s">
        <v>26</v>
      </c>
      <c r="H37" s="16" t="s">
        <v>33</v>
      </c>
      <c r="I37" s="16" t="s">
        <v>335</v>
      </c>
      <c r="J37" s="16">
        <v>7.9</v>
      </c>
      <c r="K37" s="16">
        <v>24.19</v>
      </c>
      <c r="L37" s="17" t="s">
        <v>429</v>
      </c>
      <c r="M37" s="17" t="s">
        <v>430</v>
      </c>
      <c r="N37" s="17" t="s">
        <v>407</v>
      </c>
      <c r="O37" s="17" t="s">
        <v>431</v>
      </c>
      <c r="P37" s="17" t="s">
        <v>432</v>
      </c>
      <c r="Q37" s="16" t="s">
        <v>433</v>
      </c>
      <c r="R37" s="16" t="s">
        <v>25</v>
      </c>
      <c r="T37" s="3"/>
      <c r="W37" s="3"/>
    </row>
    <row r="38" spans="1:23" s="12" customFormat="1" ht="16.5" thickBot="1" x14ac:dyDescent="0.3">
      <c r="A38" s="24">
        <v>6434</v>
      </c>
      <c r="B38" s="22" t="s">
        <v>512</v>
      </c>
      <c r="C38" s="16" t="s">
        <v>17</v>
      </c>
      <c r="D38" s="16">
        <v>10.45</v>
      </c>
      <c r="E38" s="16"/>
      <c r="F38" s="16">
        <v>0</v>
      </c>
      <c r="G38" s="16" t="s">
        <v>18</v>
      </c>
      <c r="H38" s="16" t="s">
        <v>19</v>
      </c>
      <c r="I38" s="16">
        <v>31.11</v>
      </c>
      <c r="J38" s="16">
        <v>5.6</v>
      </c>
      <c r="K38" s="16">
        <v>24.8</v>
      </c>
      <c r="L38" s="17" t="s">
        <v>211</v>
      </c>
      <c r="M38" s="17" t="s">
        <v>212</v>
      </c>
      <c r="N38" s="17"/>
      <c r="O38" s="17" t="s">
        <v>213</v>
      </c>
      <c r="P38" s="17" t="s">
        <v>214</v>
      </c>
      <c r="Q38" s="16" t="s">
        <v>215</v>
      </c>
      <c r="R38" s="16" t="s">
        <v>25</v>
      </c>
      <c r="T38" s="3"/>
      <c r="W38" s="3"/>
    </row>
    <row r="39" spans="1:23" s="12" customFormat="1" ht="16.5" thickBot="1" x14ac:dyDescent="0.3">
      <c r="A39" s="24">
        <v>6435</v>
      </c>
      <c r="B39" s="22" t="s">
        <v>511</v>
      </c>
      <c r="C39" s="16" t="s">
        <v>17</v>
      </c>
      <c r="D39" s="16">
        <v>24.75</v>
      </c>
      <c r="E39" s="16"/>
      <c r="F39" s="16">
        <v>14.75</v>
      </c>
      <c r="G39" s="16" t="s">
        <v>26</v>
      </c>
      <c r="H39" s="16" t="s">
        <v>33</v>
      </c>
      <c r="I39" s="16">
        <v>0.09</v>
      </c>
      <c r="J39" s="16">
        <v>11.6</v>
      </c>
      <c r="K39" s="16">
        <v>26.9</v>
      </c>
      <c r="L39" s="17" t="s">
        <v>434</v>
      </c>
      <c r="M39" s="17" t="s">
        <v>435</v>
      </c>
      <c r="N39" s="17"/>
      <c r="O39" s="17" t="s">
        <v>436</v>
      </c>
      <c r="P39" s="17" t="s">
        <v>437</v>
      </c>
      <c r="Q39" s="16" t="s">
        <v>24</v>
      </c>
      <c r="R39" s="16" t="s">
        <v>25</v>
      </c>
      <c r="T39" s="3"/>
      <c r="W39" s="3"/>
    </row>
    <row r="40" spans="1:23" s="12" customFormat="1" ht="16.5" thickBot="1" x14ac:dyDescent="0.3">
      <c r="A40" s="24">
        <v>6436</v>
      </c>
      <c r="B40" s="22" t="s">
        <v>511</v>
      </c>
      <c r="C40" s="16" t="s">
        <v>438</v>
      </c>
      <c r="D40" s="16">
        <v>26.33</v>
      </c>
      <c r="E40" s="16"/>
      <c r="F40" s="16">
        <v>3</v>
      </c>
      <c r="G40" s="16" t="s">
        <v>18</v>
      </c>
      <c r="H40" s="16" t="s">
        <v>19</v>
      </c>
      <c r="I40" s="16" t="s">
        <v>335</v>
      </c>
      <c r="J40" s="16">
        <v>9</v>
      </c>
      <c r="K40" s="16">
        <v>30.3</v>
      </c>
      <c r="L40" s="17" t="s">
        <v>439</v>
      </c>
      <c r="M40" s="17" t="s">
        <v>440</v>
      </c>
      <c r="N40" s="17" t="s">
        <v>407</v>
      </c>
      <c r="O40" s="17" t="s">
        <v>441</v>
      </c>
      <c r="P40" s="17" t="s">
        <v>442</v>
      </c>
      <c r="Q40" s="16" t="s">
        <v>24</v>
      </c>
      <c r="R40" s="16" t="s">
        <v>25</v>
      </c>
      <c r="T40" s="3"/>
      <c r="W40" s="3"/>
    </row>
    <row r="41" spans="1:23" s="12" customFormat="1" ht="16.5" thickBot="1" x14ac:dyDescent="0.3">
      <c r="A41" s="24">
        <v>6438</v>
      </c>
      <c r="B41" s="22" t="s">
        <v>511</v>
      </c>
      <c r="C41" s="16" t="s">
        <v>374</v>
      </c>
      <c r="D41" s="16">
        <v>39.01</v>
      </c>
      <c r="E41" s="16"/>
      <c r="F41" s="16">
        <v>10</v>
      </c>
      <c r="G41" s="16" t="s">
        <v>26</v>
      </c>
      <c r="H41" s="16" t="s">
        <v>19</v>
      </c>
      <c r="I41" s="16" t="s">
        <v>335</v>
      </c>
      <c r="J41" s="16">
        <v>10.5</v>
      </c>
      <c r="K41" s="16">
        <v>35</v>
      </c>
      <c r="L41" s="17" t="s">
        <v>443</v>
      </c>
      <c r="M41" s="17" t="s">
        <v>444</v>
      </c>
      <c r="N41" s="17"/>
      <c r="O41" s="17" t="s">
        <v>445</v>
      </c>
      <c r="P41" s="17" t="s">
        <v>446</v>
      </c>
      <c r="Q41" s="16" t="s">
        <v>24</v>
      </c>
      <c r="R41" s="16" t="s">
        <v>25</v>
      </c>
      <c r="T41" s="3"/>
      <c r="W41" s="3"/>
    </row>
    <row r="42" spans="1:23" s="12" customFormat="1" ht="16.5" thickBot="1" x14ac:dyDescent="0.3">
      <c r="A42" s="24">
        <v>6439</v>
      </c>
      <c r="B42" s="22" t="s">
        <v>512</v>
      </c>
      <c r="C42" s="16" t="s">
        <v>17</v>
      </c>
      <c r="D42" s="16">
        <v>26.96</v>
      </c>
      <c r="E42" s="16"/>
      <c r="F42" s="16">
        <v>0</v>
      </c>
      <c r="G42" s="16" t="s">
        <v>18</v>
      </c>
      <c r="H42" s="16" t="s">
        <v>33</v>
      </c>
      <c r="I42" s="16">
        <v>5.33</v>
      </c>
      <c r="J42" s="16">
        <v>4.7</v>
      </c>
      <c r="K42" s="16">
        <v>29.1</v>
      </c>
      <c r="L42" s="17" t="s">
        <v>216</v>
      </c>
      <c r="M42" s="17" t="s">
        <v>217</v>
      </c>
      <c r="N42" s="17"/>
      <c r="O42" s="17" t="s">
        <v>218</v>
      </c>
      <c r="P42" s="17" t="s">
        <v>219</v>
      </c>
      <c r="Q42" s="16" t="s">
        <v>32</v>
      </c>
      <c r="R42" s="16" t="s">
        <v>25</v>
      </c>
      <c r="T42" s="3"/>
      <c r="W42" s="3"/>
    </row>
    <row r="43" spans="1:23" s="12" customFormat="1" ht="16.5" thickBot="1" x14ac:dyDescent="0.3">
      <c r="A43" s="24">
        <v>6440</v>
      </c>
      <c r="B43" s="22" t="s">
        <v>512</v>
      </c>
      <c r="C43" s="16" t="s">
        <v>17</v>
      </c>
      <c r="D43" s="16">
        <v>15.73</v>
      </c>
      <c r="E43" s="16"/>
      <c r="F43" s="16">
        <v>0</v>
      </c>
      <c r="G43" s="16" t="s">
        <v>26</v>
      </c>
      <c r="H43" s="16" t="s">
        <v>19</v>
      </c>
      <c r="I43" s="16">
        <v>4.45</v>
      </c>
      <c r="J43" s="16">
        <v>5</v>
      </c>
      <c r="K43" s="16">
        <v>20.5</v>
      </c>
      <c r="L43" s="17" t="s">
        <v>220</v>
      </c>
      <c r="M43" s="17" t="s">
        <v>221</v>
      </c>
      <c r="N43" s="17"/>
      <c r="O43" s="17" t="s">
        <v>222</v>
      </c>
      <c r="P43" s="17" t="s">
        <v>223</v>
      </c>
      <c r="Q43" s="16" t="s">
        <v>24</v>
      </c>
      <c r="R43" s="16" t="s">
        <v>25</v>
      </c>
      <c r="T43" s="3"/>
      <c r="W43" s="3"/>
    </row>
    <row r="44" spans="1:23" s="12" customFormat="1" ht="16.5" thickBot="1" x14ac:dyDescent="0.3">
      <c r="A44" s="24">
        <v>6441</v>
      </c>
      <c r="B44" s="22" t="s">
        <v>511</v>
      </c>
      <c r="C44" s="16" t="s">
        <v>447</v>
      </c>
      <c r="D44" s="16">
        <v>29.17</v>
      </c>
      <c r="E44" s="16"/>
      <c r="F44" s="16">
        <v>5</v>
      </c>
      <c r="G44" s="16" t="s">
        <v>18</v>
      </c>
      <c r="H44" s="16" t="s">
        <v>19</v>
      </c>
      <c r="I44" s="16" t="s">
        <v>335</v>
      </c>
      <c r="J44" s="16">
        <v>14</v>
      </c>
      <c r="K44" s="16">
        <v>16.5</v>
      </c>
      <c r="L44" s="17" t="s">
        <v>448</v>
      </c>
      <c r="M44" s="17" t="s">
        <v>449</v>
      </c>
      <c r="N44" s="17"/>
      <c r="O44" s="17" t="s">
        <v>450</v>
      </c>
      <c r="P44" s="17" t="s">
        <v>451</v>
      </c>
      <c r="Q44" s="16" t="s">
        <v>24</v>
      </c>
      <c r="R44" s="16" t="s">
        <v>25</v>
      </c>
      <c r="T44" s="3"/>
      <c r="W44" s="3"/>
    </row>
    <row r="45" spans="1:23" s="12" customFormat="1" ht="16.5" thickBot="1" x14ac:dyDescent="0.3">
      <c r="A45" s="24">
        <v>6442</v>
      </c>
      <c r="B45" s="22" t="s">
        <v>512</v>
      </c>
      <c r="C45" s="16" t="s">
        <v>17</v>
      </c>
      <c r="D45" s="16">
        <v>28</v>
      </c>
      <c r="E45" s="16"/>
      <c r="F45" s="16">
        <v>0</v>
      </c>
      <c r="G45" s="16" t="s">
        <v>18</v>
      </c>
      <c r="H45" s="16" t="s">
        <v>19</v>
      </c>
      <c r="I45" s="16">
        <v>5.91</v>
      </c>
      <c r="J45" s="16">
        <v>5.0999999999999996</v>
      </c>
      <c r="K45" s="16">
        <v>23.2</v>
      </c>
      <c r="L45" s="17" t="s">
        <v>224</v>
      </c>
      <c r="M45" s="17" t="s">
        <v>225</v>
      </c>
      <c r="N45" s="17"/>
      <c r="O45" s="17" t="s">
        <v>226</v>
      </c>
      <c r="P45" s="17" t="s">
        <v>227</v>
      </c>
      <c r="Q45" s="16" t="s">
        <v>24</v>
      </c>
      <c r="R45" s="16" t="s">
        <v>25</v>
      </c>
      <c r="T45" s="3"/>
      <c r="W45" s="3"/>
    </row>
    <row r="46" spans="1:23" s="12" customFormat="1" ht="16.5" thickBot="1" x14ac:dyDescent="0.3">
      <c r="A46" s="24">
        <v>6443</v>
      </c>
      <c r="B46" s="22" t="s">
        <v>511</v>
      </c>
      <c r="C46" s="16" t="s">
        <v>452</v>
      </c>
      <c r="D46" s="16">
        <v>16.100000000000001</v>
      </c>
      <c r="E46" s="16"/>
      <c r="F46" s="16">
        <v>9</v>
      </c>
      <c r="G46" s="16" t="s">
        <v>26</v>
      </c>
      <c r="H46" s="16" t="s">
        <v>19</v>
      </c>
      <c r="I46" s="16" t="s">
        <v>335</v>
      </c>
      <c r="J46" s="16">
        <v>7.7</v>
      </c>
      <c r="K46" s="16">
        <v>34.5</v>
      </c>
      <c r="L46" s="17" t="s">
        <v>453</v>
      </c>
      <c r="M46" s="17" t="s">
        <v>454</v>
      </c>
      <c r="N46" s="17" t="s">
        <v>407</v>
      </c>
      <c r="O46" s="17" t="s">
        <v>455</v>
      </c>
      <c r="P46" s="17" t="s">
        <v>456</v>
      </c>
      <c r="Q46" s="16" t="s">
        <v>32</v>
      </c>
      <c r="R46" s="16" t="s">
        <v>25</v>
      </c>
      <c r="T46" s="3"/>
      <c r="W46" s="3"/>
    </row>
    <row r="47" spans="1:23" s="12" customFormat="1" ht="16.5" thickBot="1" x14ac:dyDescent="0.3">
      <c r="A47" s="24">
        <v>6445</v>
      </c>
      <c r="B47" s="22" t="s">
        <v>512</v>
      </c>
      <c r="C47" s="16" t="s">
        <v>17</v>
      </c>
      <c r="D47" s="16">
        <v>17.25</v>
      </c>
      <c r="E47" s="16"/>
      <c r="F47" s="16">
        <v>0</v>
      </c>
      <c r="G47" s="16" t="s">
        <v>18</v>
      </c>
      <c r="H47" s="16" t="s">
        <v>19</v>
      </c>
      <c r="I47" s="16">
        <v>12.11</v>
      </c>
      <c r="J47" s="16">
        <v>5.6</v>
      </c>
      <c r="K47" s="16">
        <v>20.6</v>
      </c>
      <c r="L47" s="17" t="s">
        <v>228</v>
      </c>
      <c r="M47" s="17" t="s">
        <v>229</v>
      </c>
      <c r="N47" s="17"/>
      <c r="O47" s="17" t="s">
        <v>230</v>
      </c>
      <c r="P47" s="17" t="s">
        <v>231</v>
      </c>
      <c r="Q47" s="16" t="s">
        <v>24</v>
      </c>
      <c r="R47" s="16" t="s">
        <v>25</v>
      </c>
      <c r="T47" s="3"/>
      <c r="W47" s="3"/>
    </row>
    <row r="48" spans="1:23" s="12" customFormat="1" ht="16.5" thickBot="1" x14ac:dyDescent="0.3">
      <c r="A48" s="24">
        <v>6446</v>
      </c>
      <c r="B48" s="22" t="s">
        <v>512</v>
      </c>
      <c r="C48" s="16" t="s">
        <v>17</v>
      </c>
      <c r="D48" s="16">
        <v>0</v>
      </c>
      <c r="E48" s="16">
        <v>34</v>
      </c>
      <c r="F48" s="16">
        <v>0</v>
      </c>
      <c r="G48" s="16" t="s">
        <v>26</v>
      </c>
      <c r="H48" s="16" t="s">
        <v>19</v>
      </c>
      <c r="I48" s="16">
        <v>0.61</v>
      </c>
      <c r="J48" s="16"/>
      <c r="K48" s="16"/>
      <c r="L48" s="17" t="s">
        <v>232</v>
      </c>
      <c r="M48" s="17" t="s">
        <v>233</v>
      </c>
      <c r="N48" s="17" t="s">
        <v>234</v>
      </c>
      <c r="O48" s="17"/>
      <c r="P48" s="17" t="s">
        <v>235</v>
      </c>
      <c r="Q48" s="16" t="s">
        <v>85</v>
      </c>
      <c r="R48" s="16" t="s">
        <v>25</v>
      </c>
      <c r="T48" s="3"/>
      <c r="W48" s="3"/>
    </row>
    <row r="49" spans="1:23" s="12" customFormat="1" ht="16.5" thickBot="1" x14ac:dyDescent="0.3">
      <c r="A49" s="24">
        <v>6448</v>
      </c>
      <c r="B49" s="22" t="s">
        <v>512</v>
      </c>
      <c r="C49" s="16" t="s">
        <v>17</v>
      </c>
      <c r="D49" s="16">
        <v>34.630000000000003</v>
      </c>
      <c r="E49" s="16"/>
      <c r="F49" s="16">
        <v>0</v>
      </c>
      <c r="G49" s="16" t="s">
        <v>26</v>
      </c>
      <c r="H49" s="16" t="s">
        <v>19</v>
      </c>
      <c r="I49" s="16">
        <v>1.04</v>
      </c>
      <c r="J49" s="16">
        <v>5</v>
      </c>
      <c r="K49" s="16">
        <v>26.9</v>
      </c>
      <c r="L49" s="17" t="s">
        <v>236</v>
      </c>
      <c r="M49" s="17" t="s">
        <v>237</v>
      </c>
      <c r="N49" s="17"/>
      <c r="O49" s="17" t="s">
        <v>238</v>
      </c>
      <c r="P49" s="17" t="s">
        <v>239</v>
      </c>
      <c r="Q49" s="16" t="s">
        <v>24</v>
      </c>
      <c r="R49" s="16" t="s">
        <v>25</v>
      </c>
      <c r="T49" s="3"/>
      <c r="W49" s="3"/>
    </row>
    <row r="50" spans="1:23" s="12" customFormat="1" ht="16.5" thickBot="1" x14ac:dyDescent="0.3">
      <c r="A50" s="24">
        <v>6453</v>
      </c>
      <c r="B50" s="22" t="s">
        <v>512</v>
      </c>
      <c r="C50" s="16" t="s">
        <v>17</v>
      </c>
      <c r="D50" s="16">
        <v>23.44</v>
      </c>
      <c r="E50" s="16"/>
      <c r="F50" s="16">
        <v>0</v>
      </c>
      <c r="G50" s="16" t="s">
        <v>18</v>
      </c>
      <c r="H50" s="16" t="s">
        <v>54</v>
      </c>
      <c r="I50" s="16">
        <v>2.68</v>
      </c>
      <c r="J50" s="16">
        <v>5.0999999999999996</v>
      </c>
      <c r="K50" s="16">
        <v>23.1</v>
      </c>
      <c r="L50" s="17" t="s">
        <v>240</v>
      </c>
      <c r="M50" s="17" t="s">
        <v>241</v>
      </c>
      <c r="N50" s="17"/>
      <c r="O50" s="17" t="s">
        <v>242</v>
      </c>
      <c r="P50" s="17" t="s">
        <v>243</v>
      </c>
      <c r="Q50" s="16" t="s">
        <v>32</v>
      </c>
      <c r="R50" s="16" t="s">
        <v>25</v>
      </c>
      <c r="T50" s="3"/>
      <c r="W50" s="3"/>
    </row>
    <row r="51" spans="1:23" s="12" customFormat="1" ht="16.5" thickBot="1" x14ac:dyDescent="0.3">
      <c r="A51" s="24">
        <v>6454</v>
      </c>
      <c r="B51" s="22" t="s">
        <v>512</v>
      </c>
      <c r="C51" s="16" t="s">
        <v>17</v>
      </c>
      <c r="D51" s="16">
        <v>25.16</v>
      </c>
      <c r="E51" s="16"/>
      <c r="F51" s="16">
        <v>0</v>
      </c>
      <c r="G51" s="16" t="s">
        <v>18</v>
      </c>
      <c r="H51" s="16" t="s">
        <v>19</v>
      </c>
      <c r="I51" s="16">
        <v>4.57</v>
      </c>
      <c r="J51" s="16">
        <v>4.7</v>
      </c>
      <c r="K51" s="16">
        <v>26.6</v>
      </c>
      <c r="L51" s="17" t="s">
        <v>244</v>
      </c>
      <c r="M51" s="17" t="s">
        <v>245</v>
      </c>
      <c r="N51" s="17"/>
      <c r="O51" s="17"/>
      <c r="P51" s="17" t="s">
        <v>246</v>
      </c>
      <c r="Q51" s="16" t="s">
        <v>24</v>
      </c>
      <c r="R51" s="16" t="s">
        <v>25</v>
      </c>
      <c r="T51" s="3"/>
      <c r="W51" s="3"/>
    </row>
    <row r="52" spans="1:23" s="12" customFormat="1" ht="16.5" thickBot="1" x14ac:dyDescent="0.3">
      <c r="A52" s="24">
        <v>6456</v>
      </c>
      <c r="B52" s="22" t="s">
        <v>511</v>
      </c>
      <c r="C52" s="16" t="s">
        <v>457</v>
      </c>
      <c r="D52" s="16">
        <v>30.49</v>
      </c>
      <c r="E52" s="16"/>
      <c r="F52" s="16">
        <v>0</v>
      </c>
      <c r="G52" s="16" t="s">
        <v>26</v>
      </c>
      <c r="H52" s="16" t="s">
        <v>33</v>
      </c>
      <c r="I52" s="16">
        <v>10.33</v>
      </c>
      <c r="J52" s="16">
        <v>6.8</v>
      </c>
      <c r="K52" s="16">
        <v>30.1</v>
      </c>
      <c r="L52" s="17" t="s">
        <v>458</v>
      </c>
      <c r="M52" s="17" t="s">
        <v>459</v>
      </c>
      <c r="N52" s="17"/>
      <c r="O52" s="17" t="s">
        <v>460</v>
      </c>
      <c r="P52" s="17" t="s">
        <v>461</v>
      </c>
      <c r="Q52" s="16" t="s">
        <v>32</v>
      </c>
      <c r="R52" s="16" t="s">
        <v>25</v>
      </c>
      <c r="T52" s="3"/>
      <c r="W52" s="3"/>
    </row>
    <row r="53" spans="1:23" s="12" customFormat="1" ht="16.5" thickBot="1" x14ac:dyDescent="0.3">
      <c r="A53" s="24">
        <v>6459</v>
      </c>
      <c r="B53" s="22" t="s">
        <v>511</v>
      </c>
      <c r="C53" s="16" t="s">
        <v>452</v>
      </c>
      <c r="D53" s="16">
        <v>20.95</v>
      </c>
      <c r="E53" s="16"/>
      <c r="F53" s="16">
        <v>10</v>
      </c>
      <c r="G53" s="16" t="s">
        <v>26</v>
      </c>
      <c r="H53" s="16" t="s">
        <v>19</v>
      </c>
      <c r="I53" s="16" t="s">
        <v>335</v>
      </c>
      <c r="J53" s="16">
        <v>9.8000000000000007</v>
      </c>
      <c r="K53" s="16">
        <v>36.700000000000003</v>
      </c>
      <c r="L53" s="17" t="s">
        <v>462</v>
      </c>
      <c r="M53" s="17" t="s">
        <v>463</v>
      </c>
      <c r="N53" s="17" t="s">
        <v>407</v>
      </c>
      <c r="O53" s="17" t="s">
        <v>464</v>
      </c>
      <c r="P53" s="17" t="s">
        <v>465</v>
      </c>
      <c r="Q53" s="16" t="s">
        <v>24</v>
      </c>
      <c r="R53" s="16" t="s">
        <v>25</v>
      </c>
      <c r="T53" s="3"/>
      <c r="W53" s="3"/>
    </row>
    <row r="54" spans="1:23" s="12" customFormat="1" ht="16.5" thickBot="1" x14ac:dyDescent="0.3">
      <c r="A54" s="24">
        <v>6460</v>
      </c>
      <c r="B54" s="22" t="s">
        <v>512</v>
      </c>
      <c r="C54" s="16" t="s">
        <v>17</v>
      </c>
      <c r="D54" s="16">
        <v>0</v>
      </c>
      <c r="E54" s="16">
        <v>39</v>
      </c>
      <c r="F54" s="16">
        <v>0</v>
      </c>
      <c r="G54" s="16" t="s">
        <v>26</v>
      </c>
      <c r="H54" s="16" t="s">
        <v>19</v>
      </c>
      <c r="I54" s="16">
        <v>1</v>
      </c>
      <c r="J54" s="16">
        <v>3.9</v>
      </c>
      <c r="K54" s="16">
        <v>14</v>
      </c>
      <c r="L54" s="17" t="s">
        <v>247</v>
      </c>
      <c r="M54" s="17" t="s">
        <v>248</v>
      </c>
      <c r="N54" s="17"/>
      <c r="O54" s="17" t="s">
        <v>249</v>
      </c>
      <c r="P54" s="17" t="s">
        <v>250</v>
      </c>
      <c r="Q54" s="16" t="s">
        <v>24</v>
      </c>
      <c r="R54" s="16" t="s">
        <v>25</v>
      </c>
      <c r="T54" s="3"/>
      <c r="W54" s="3"/>
    </row>
    <row r="55" spans="1:23" s="12" customFormat="1" ht="16.5" thickBot="1" x14ac:dyDescent="0.3">
      <c r="A55" s="24">
        <v>6461</v>
      </c>
      <c r="B55" s="22" t="s">
        <v>512</v>
      </c>
      <c r="C55" s="16" t="s">
        <v>17</v>
      </c>
      <c r="D55" s="16">
        <v>14.29</v>
      </c>
      <c r="E55" s="16"/>
      <c r="F55" s="16">
        <v>0</v>
      </c>
      <c r="G55" s="16" t="s">
        <v>18</v>
      </c>
      <c r="H55" s="16" t="s">
        <v>19</v>
      </c>
      <c r="I55" s="16">
        <v>5.26</v>
      </c>
      <c r="J55" s="16" t="s">
        <v>251</v>
      </c>
      <c r="K55" s="16">
        <v>18.5</v>
      </c>
      <c r="L55" s="17" t="s">
        <v>252</v>
      </c>
      <c r="M55" s="17" t="s">
        <v>253</v>
      </c>
      <c r="N55" s="17" t="s">
        <v>254</v>
      </c>
      <c r="O55" s="17" t="s">
        <v>255</v>
      </c>
      <c r="P55" s="17" t="s">
        <v>256</v>
      </c>
      <c r="Q55" s="16" t="s">
        <v>32</v>
      </c>
      <c r="R55" s="16" t="s">
        <v>25</v>
      </c>
      <c r="T55" s="3"/>
      <c r="W55" s="3"/>
    </row>
    <row r="56" spans="1:23" s="12" customFormat="1" ht="16.5" thickBot="1" x14ac:dyDescent="0.3">
      <c r="A56" s="24">
        <v>6462</v>
      </c>
      <c r="B56" s="22" t="s">
        <v>512</v>
      </c>
      <c r="C56" s="16" t="s">
        <v>17</v>
      </c>
      <c r="D56" s="16">
        <v>13.52</v>
      </c>
      <c r="E56" s="16"/>
      <c r="F56" s="16">
        <v>0</v>
      </c>
      <c r="G56" s="16" t="s">
        <v>26</v>
      </c>
      <c r="H56" s="16" t="s">
        <v>19</v>
      </c>
      <c r="I56" s="16">
        <v>11.09</v>
      </c>
      <c r="J56" s="16">
        <v>5.5</v>
      </c>
      <c r="K56" s="16">
        <v>15.2</v>
      </c>
      <c r="L56" s="17" t="s">
        <v>257</v>
      </c>
      <c r="M56" s="17" t="s">
        <v>258</v>
      </c>
      <c r="N56" s="17"/>
      <c r="O56" s="17" t="s">
        <v>259</v>
      </c>
      <c r="P56" s="17" t="s">
        <v>260</v>
      </c>
      <c r="Q56" s="16" t="s">
        <v>24</v>
      </c>
      <c r="R56" s="16" t="s">
        <v>25</v>
      </c>
      <c r="T56" s="3"/>
      <c r="W56" s="3"/>
    </row>
    <row r="57" spans="1:23" s="12" customFormat="1" ht="16.5" thickBot="1" x14ac:dyDescent="0.3">
      <c r="A57" s="24">
        <v>6465</v>
      </c>
      <c r="B57" s="22" t="s">
        <v>512</v>
      </c>
      <c r="C57" s="16" t="s">
        <v>17</v>
      </c>
      <c r="D57" s="16">
        <v>3.91</v>
      </c>
      <c r="E57" s="16"/>
      <c r="F57" s="16">
        <v>0</v>
      </c>
      <c r="G57" s="16" t="s">
        <v>18</v>
      </c>
      <c r="H57" s="16" t="s">
        <v>33</v>
      </c>
      <c r="I57" s="16">
        <v>3.42</v>
      </c>
      <c r="J57" s="16">
        <v>5.2</v>
      </c>
      <c r="K57" s="16">
        <v>16.8</v>
      </c>
      <c r="L57" s="17" t="s">
        <v>261</v>
      </c>
      <c r="M57" s="17" t="s">
        <v>262</v>
      </c>
      <c r="N57" s="17" t="s">
        <v>263</v>
      </c>
      <c r="O57" s="17" t="s">
        <v>264</v>
      </c>
      <c r="P57" s="17" t="s">
        <v>265</v>
      </c>
      <c r="Q57" s="16" t="s">
        <v>24</v>
      </c>
      <c r="R57" s="16" t="s">
        <v>25</v>
      </c>
      <c r="T57" s="3"/>
      <c r="W57" s="3"/>
    </row>
    <row r="58" spans="1:23" s="12" customFormat="1" ht="16.5" thickBot="1" x14ac:dyDescent="0.3">
      <c r="A58" s="24">
        <v>6466</v>
      </c>
      <c r="B58" s="22" t="s">
        <v>511</v>
      </c>
      <c r="C58" s="16" t="s">
        <v>438</v>
      </c>
      <c r="D58" s="16">
        <v>18.260000000000002</v>
      </c>
      <c r="E58" s="16"/>
      <c r="F58" s="16">
        <v>6</v>
      </c>
      <c r="G58" s="16" t="s">
        <v>18</v>
      </c>
      <c r="H58" s="16" t="s">
        <v>19</v>
      </c>
      <c r="I58" s="16" t="s">
        <v>335</v>
      </c>
      <c r="J58" s="16">
        <v>14</v>
      </c>
      <c r="K58" s="16">
        <v>20.2</v>
      </c>
      <c r="L58" s="17" t="s">
        <v>466</v>
      </c>
      <c r="M58" s="17" t="s">
        <v>467</v>
      </c>
      <c r="N58" s="17" t="s">
        <v>407</v>
      </c>
      <c r="O58" s="17" t="s">
        <v>468</v>
      </c>
      <c r="P58" s="17" t="s">
        <v>469</v>
      </c>
      <c r="Q58" s="16" t="s">
        <v>470</v>
      </c>
      <c r="R58" s="16" t="s">
        <v>471</v>
      </c>
      <c r="T58" s="3"/>
      <c r="W58" s="3"/>
    </row>
    <row r="59" spans="1:23" s="12" customFormat="1" ht="16.5" thickBot="1" x14ac:dyDescent="0.3">
      <c r="A59" s="24">
        <v>6467</v>
      </c>
      <c r="B59" s="22" t="s">
        <v>512</v>
      </c>
      <c r="C59" s="16" t="s">
        <v>17</v>
      </c>
      <c r="D59" s="16">
        <v>13.83</v>
      </c>
      <c r="E59" s="16"/>
      <c r="F59" s="16">
        <v>0</v>
      </c>
      <c r="G59" s="16" t="s">
        <v>18</v>
      </c>
      <c r="H59" s="16" t="s">
        <v>19</v>
      </c>
      <c r="I59" s="16">
        <v>10.82</v>
      </c>
      <c r="J59" s="16">
        <v>5.0999999999999996</v>
      </c>
      <c r="K59" s="16">
        <v>19.600000000000001</v>
      </c>
      <c r="L59" s="17" t="s">
        <v>266</v>
      </c>
      <c r="M59" s="17" t="s">
        <v>267</v>
      </c>
      <c r="N59" s="17"/>
      <c r="O59" s="17" t="s">
        <v>268</v>
      </c>
      <c r="P59" s="17" t="s">
        <v>269</v>
      </c>
      <c r="Q59" s="16" t="s">
        <v>24</v>
      </c>
      <c r="R59" s="16" t="s">
        <v>25</v>
      </c>
      <c r="T59" s="3"/>
      <c r="W59" s="3"/>
    </row>
    <row r="60" spans="1:23" s="12" customFormat="1" ht="16.5" thickBot="1" x14ac:dyDescent="0.3">
      <c r="A60" s="24">
        <v>6468</v>
      </c>
      <c r="B60" s="22" t="s">
        <v>512</v>
      </c>
      <c r="C60" s="16" t="s">
        <v>17</v>
      </c>
      <c r="D60" s="16">
        <v>16.22</v>
      </c>
      <c r="E60" s="16"/>
      <c r="F60" s="16">
        <v>0</v>
      </c>
      <c r="G60" s="16" t="s">
        <v>18</v>
      </c>
      <c r="H60" s="16" t="s">
        <v>19</v>
      </c>
      <c r="I60" s="16">
        <v>5.27</v>
      </c>
      <c r="J60" s="16">
        <v>4.4000000000000004</v>
      </c>
      <c r="K60" s="16">
        <v>15.9</v>
      </c>
      <c r="L60" s="17" t="s">
        <v>270</v>
      </c>
      <c r="M60" s="17" t="s">
        <v>271</v>
      </c>
      <c r="N60" s="17" t="s">
        <v>272</v>
      </c>
      <c r="O60" s="17" t="s">
        <v>273</v>
      </c>
      <c r="P60" s="17" t="s">
        <v>274</v>
      </c>
      <c r="Q60" s="16" t="s">
        <v>24</v>
      </c>
      <c r="R60" s="16" t="s">
        <v>25</v>
      </c>
      <c r="T60" s="3"/>
      <c r="W60" s="3"/>
    </row>
    <row r="61" spans="1:23" s="12" customFormat="1" ht="15" customHeight="1" thickBot="1" x14ac:dyDescent="0.3">
      <c r="A61" s="24">
        <v>6470</v>
      </c>
      <c r="B61" s="22" t="s">
        <v>512</v>
      </c>
      <c r="C61" s="16" t="s">
        <v>17</v>
      </c>
      <c r="D61" s="16">
        <v>30.1</v>
      </c>
      <c r="E61" s="16"/>
      <c r="F61" s="16">
        <v>0</v>
      </c>
      <c r="G61" s="16" t="s">
        <v>18</v>
      </c>
      <c r="H61" s="16" t="s">
        <v>19</v>
      </c>
      <c r="I61" s="16">
        <v>6.03</v>
      </c>
      <c r="J61" s="16">
        <v>5.5</v>
      </c>
      <c r="K61" s="16">
        <v>22.5</v>
      </c>
      <c r="L61" s="17" t="s">
        <v>275</v>
      </c>
      <c r="M61" s="17" t="s">
        <v>276</v>
      </c>
      <c r="N61" s="17"/>
      <c r="O61" s="17" t="s">
        <v>277</v>
      </c>
      <c r="P61" s="17" t="s">
        <v>278</v>
      </c>
      <c r="Q61" s="16" t="s">
        <v>24</v>
      </c>
      <c r="R61" s="16" t="s">
        <v>25</v>
      </c>
      <c r="T61" s="3"/>
      <c r="W61" s="3"/>
    </row>
    <row r="62" spans="1:23" s="12" customFormat="1" ht="16.5" thickBot="1" x14ac:dyDescent="0.3">
      <c r="A62" s="24">
        <v>6471</v>
      </c>
      <c r="B62" s="22" t="s">
        <v>512</v>
      </c>
      <c r="C62" s="16" t="s">
        <v>17</v>
      </c>
      <c r="D62" s="16">
        <v>16.940000000000001</v>
      </c>
      <c r="E62" s="16"/>
      <c r="F62" s="16">
        <v>0</v>
      </c>
      <c r="G62" s="16" t="s">
        <v>18</v>
      </c>
      <c r="H62" s="16" t="s">
        <v>33</v>
      </c>
      <c r="I62" s="16">
        <v>1.99</v>
      </c>
      <c r="J62" s="16">
        <v>5.5</v>
      </c>
      <c r="K62" s="16">
        <v>18.399999999999999</v>
      </c>
      <c r="L62" s="17" t="s">
        <v>279</v>
      </c>
      <c r="M62" s="17" t="s">
        <v>280</v>
      </c>
      <c r="N62" s="17"/>
      <c r="O62" s="17" t="s">
        <v>281</v>
      </c>
      <c r="P62" s="17" t="s">
        <v>282</v>
      </c>
      <c r="Q62" s="16" t="s">
        <v>32</v>
      </c>
      <c r="R62" s="16" t="s">
        <v>25</v>
      </c>
      <c r="T62" s="3"/>
      <c r="W62" s="3"/>
    </row>
    <row r="63" spans="1:23" s="12" customFormat="1" ht="15.95" customHeight="1" thickBot="1" x14ac:dyDescent="0.3">
      <c r="A63" s="24">
        <v>6473</v>
      </c>
      <c r="B63" s="22" t="s">
        <v>511</v>
      </c>
      <c r="C63" s="16" t="s">
        <v>357</v>
      </c>
      <c r="D63" s="16">
        <v>13.21</v>
      </c>
      <c r="E63" s="16"/>
      <c r="F63" s="16">
        <v>6</v>
      </c>
      <c r="G63" s="16" t="s">
        <v>18</v>
      </c>
      <c r="H63" s="16" t="s">
        <v>33</v>
      </c>
      <c r="I63" s="16" t="s">
        <v>335</v>
      </c>
      <c r="J63" s="16">
        <v>12.8</v>
      </c>
      <c r="K63" s="16">
        <v>17.899999999999999</v>
      </c>
      <c r="L63" s="17" t="s">
        <v>472</v>
      </c>
      <c r="M63" s="17" t="s">
        <v>473</v>
      </c>
      <c r="N63" s="17" t="s">
        <v>407</v>
      </c>
      <c r="O63" s="17" t="s">
        <v>474</v>
      </c>
      <c r="P63" s="17" t="s">
        <v>475</v>
      </c>
      <c r="Q63" s="16" t="s">
        <v>24</v>
      </c>
      <c r="R63" s="16" t="s">
        <v>25</v>
      </c>
      <c r="T63" s="3"/>
      <c r="W63" s="3"/>
    </row>
    <row r="64" spans="1:23" s="12" customFormat="1" ht="15" customHeight="1" thickBot="1" x14ac:dyDescent="0.3">
      <c r="A64" s="24">
        <v>6474</v>
      </c>
      <c r="B64" s="22" t="s">
        <v>512</v>
      </c>
      <c r="C64" s="16" t="s">
        <v>17</v>
      </c>
      <c r="D64" s="16">
        <v>21.12</v>
      </c>
      <c r="E64" s="16"/>
      <c r="F64" s="16">
        <v>0</v>
      </c>
      <c r="G64" s="16" t="s">
        <v>18</v>
      </c>
      <c r="H64" s="16" t="s">
        <v>33</v>
      </c>
      <c r="I64" s="16">
        <v>5.88</v>
      </c>
      <c r="J64" s="16">
        <v>5.3</v>
      </c>
      <c r="K64" s="16">
        <v>29</v>
      </c>
      <c r="L64" s="17" t="s">
        <v>283</v>
      </c>
      <c r="M64" s="17" t="s">
        <v>284</v>
      </c>
      <c r="N64" s="17"/>
      <c r="O64" s="17" t="s">
        <v>285</v>
      </c>
      <c r="P64" s="17" t="s">
        <v>286</v>
      </c>
      <c r="Q64" s="16" t="s">
        <v>32</v>
      </c>
      <c r="R64" s="16" t="s">
        <v>25</v>
      </c>
      <c r="T64" s="3"/>
      <c r="W64" s="3"/>
    </row>
    <row r="65" spans="1:23" s="12" customFormat="1" ht="16.5" thickBot="1" x14ac:dyDescent="0.3">
      <c r="A65" s="24">
        <v>6476</v>
      </c>
      <c r="B65" s="22" t="s">
        <v>512</v>
      </c>
      <c r="C65" s="16" t="s">
        <v>17</v>
      </c>
      <c r="D65" s="16">
        <v>10.23</v>
      </c>
      <c r="E65" s="16"/>
      <c r="F65" s="16">
        <v>0</v>
      </c>
      <c r="G65" s="16" t="s">
        <v>26</v>
      </c>
      <c r="H65" s="16" t="s">
        <v>33</v>
      </c>
      <c r="I65" s="16">
        <v>6.95</v>
      </c>
      <c r="J65" s="16">
        <v>6.3</v>
      </c>
      <c r="K65" s="16">
        <v>36.700000000000003</v>
      </c>
      <c r="L65" s="17" t="s">
        <v>287</v>
      </c>
      <c r="M65" s="17" t="s">
        <v>288</v>
      </c>
      <c r="N65" s="17" t="s">
        <v>289</v>
      </c>
      <c r="O65" s="17" t="s">
        <v>290</v>
      </c>
      <c r="P65" s="17" t="s">
        <v>291</v>
      </c>
      <c r="Q65" s="16" t="s">
        <v>24</v>
      </c>
      <c r="R65" s="16" t="s">
        <v>25</v>
      </c>
      <c r="T65" s="3"/>
      <c r="W65" s="3"/>
    </row>
    <row r="66" spans="1:23" s="12" customFormat="1" ht="15.95" customHeight="1" thickBot="1" x14ac:dyDescent="0.3">
      <c r="A66" s="24">
        <v>6479</v>
      </c>
      <c r="B66" s="22" t="s">
        <v>512</v>
      </c>
      <c r="C66" s="16" t="s">
        <v>17</v>
      </c>
      <c r="D66" s="16">
        <v>20.9</v>
      </c>
      <c r="E66" s="16"/>
      <c r="F66" s="16">
        <v>0</v>
      </c>
      <c r="G66" s="16" t="s">
        <v>26</v>
      </c>
      <c r="H66" s="16" t="s">
        <v>54</v>
      </c>
      <c r="I66" s="16">
        <v>1.74</v>
      </c>
      <c r="J66" s="16">
        <v>5</v>
      </c>
      <c r="K66" s="16">
        <v>20.9</v>
      </c>
      <c r="L66" s="17" t="s">
        <v>292</v>
      </c>
      <c r="M66" s="17" t="s">
        <v>293</v>
      </c>
      <c r="N66" s="17"/>
      <c r="O66" s="17" t="s">
        <v>294</v>
      </c>
      <c r="P66" s="17" t="s">
        <v>295</v>
      </c>
      <c r="Q66" s="16" t="s">
        <v>24</v>
      </c>
      <c r="R66" s="16" t="s">
        <v>25</v>
      </c>
      <c r="T66" s="3"/>
      <c r="W66" s="3"/>
    </row>
    <row r="67" spans="1:23" s="12" customFormat="1" ht="16.5" thickBot="1" x14ac:dyDescent="0.3">
      <c r="A67" s="24">
        <v>6481</v>
      </c>
      <c r="B67" s="22" t="s">
        <v>512</v>
      </c>
      <c r="C67" s="16" t="s">
        <v>17</v>
      </c>
      <c r="D67" s="16">
        <v>36.96</v>
      </c>
      <c r="E67" s="16"/>
      <c r="F67" s="16">
        <v>0</v>
      </c>
      <c r="G67" s="16" t="s">
        <v>18</v>
      </c>
      <c r="H67" s="16" t="s">
        <v>19</v>
      </c>
      <c r="I67" s="16">
        <v>10.89</v>
      </c>
      <c r="J67" s="16">
        <v>5.4</v>
      </c>
      <c r="K67" s="16">
        <v>29.9</v>
      </c>
      <c r="L67" s="17" t="s">
        <v>103</v>
      </c>
      <c r="M67" s="17" t="s">
        <v>104</v>
      </c>
      <c r="N67" s="17"/>
      <c r="O67" s="17" t="s">
        <v>105</v>
      </c>
      <c r="P67" s="17" t="s">
        <v>106</v>
      </c>
      <c r="Q67" s="16" t="s">
        <v>24</v>
      </c>
      <c r="R67" s="16" t="s">
        <v>25</v>
      </c>
      <c r="T67" s="3"/>
      <c r="W67" s="3"/>
    </row>
    <row r="68" spans="1:23" s="12" customFormat="1" ht="16.5" thickBot="1" x14ac:dyDescent="0.3">
      <c r="A68" s="24">
        <v>6482</v>
      </c>
      <c r="B68" s="22" t="s">
        <v>512</v>
      </c>
      <c r="C68" s="16" t="s">
        <v>17</v>
      </c>
      <c r="D68" s="16">
        <v>18.690000000000001</v>
      </c>
      <c r="E68" s="16"/>
      <c r="F68" s="16">
        <v>0</v>
      </c>
      <c r="G68" s="16" t="s">
        <v>26</v>
      </c>
      <c r="H68" s="16" t="s">
        <v>19</v>
      </c>
      <c r="I68" s="16">
        <v>7.47</v>
      </c>
      <c r="J68" s="16">
        <v>5.3</v>
      </c>
      <c r="K68" s="16">
        <v>20</v>
      </c>
      <c r="L68" s="17" t="s">
        <v>296</v>
      </c>
      <c r="M68" s="17" t="s">
        <v>297</v>
      </c>
      <c r="N68" s="17"/>
      <c r="O68" s="17" t="s">
        <v>298</v>
      </c>
      <c r="P68" s="17" t="s">
        <v>299</v>
      </c>
      <c r="Q68" s="16" t="s">
        <v>32</v>
      </c>
      <c r="R68" s="16" t="s">
        <v>25</v>
      </c>
      <c r="T68" s="3"/>
      <c r="W68" s="3"/>
    </row>
    <row r="69" spans="1:23" s="12" customFormat="1" ht="16.5" thickBot="1" x14ac:dyDescent="0.3">
      <c r="A69" s="24">
        <v>6486</v>
      </c>
      <c r="B69" s="22" t="s">
        <v>512</v>
      </c>
      <c r="C69" s="16" t="s">
        <v>17</v>
      </c>
      <c r="D69" s="16">
        <v>37.32</v>
      </c>
      <c r="E69" s="16"/>
      <c r="F69" s="16">
        <v>0</v>
      </c>
      <c r="G69" s="16" t="s">
        <v>18</v>
      </c>
      <c r="H69" s="16" t="s">
        <v>19</v>
      </c>
      <c r="I69" s="16">
        <v>9.82</v>
      </c>
      <c r="J69" s="16">
        <v>5.8</v>
      </c>
      <c r="K69" s="16">
        <v>23.2</v>
      </c>
      <c r="L69" s="17" t="s">
        <v>300</v>
      </c>
      <c r="M69" s="17" t="s">
        <v>301</v>
      </c>
      <c r="N69" s="17"/>
      <c r="O69" s="17" t="s">
        <v>302</v>
      </c>
      <c r="P69" s="17" t="s">
        <v>303</v>
      </c>
      <c r="Q69" s="16" t="s">
        <v>56</v>
      </c>
      <c r="R69" s="16" t="s">
        <v>25</v>
      </c>
      <c r="T69" s="3"/>
      <c r="W69" s="3"/>
    </row>
    <row r="70" spans="1:23" s="12" customFormat="1" ht="17.100000000000001" customHeight="1" thickBot="1" x14ac:dyDescent="0.3">
      <c r="A70" s="24">
        <v>6487</v>
      </c>
      <c r="B70" s="22" t="s">
        <v>512</v>
      </c>
      <c r="C70" s="16" t="s">
        <v>17</v>
      </c>
      <c r="D70" s="16">
        <v>27.8</v>
      </c>
      <c r="E70" s="16"/>
      <c r="F70" s="16">
        <v>0</v>
      </c>
      <c r="G70" s="16" t="s">
        <v>18</v>
      </c>
      <c r="H70" s="16" t="s">
        <v>33</v>
      </c>
      <c r="I70" s="16">
        <v>5.52</v>
      </c>
      <c r="J70" s="16">
        <v>5.3</v>
      </c>
      <c r="K70" s="16">
        <v>27.8</v>
      </c>
      <c r="L70" s="17" t="s">
        <v>304</v>
      </c>
      <c r="M70" s="17" t="s">
        <v>305</v>
      </c>
      <c r="N70" s="17" t="s">
        <v>306</v>
      </c>
      <c r="O70" s="17" t="s">
        <v>307</v>
      </c>
      <c r="P70" s="17" t="s">
        <v>308</v>
      </c>
      <c r="Q70" s="16" t="s">
        <v>56</v>
      </c>
      <c r="R70" s="16" t="s">
        <v>25</v>
      </c>
      <c r="T70" s="3"/>
      <c r="W70" s="3"/>
    </row>
    <row r="71" spans="1:23" s="12" customFormat="1" ht="16.5" thickBot="1" x14ac:dyDescent="0.3">
      <c r="A71" s="24">
        <v>6492</v>
      </c>
      <c r="B71" s="22" t="s">
        <v>512</v>
      </c>
      <c r="C71" s="16" t="s">
        <v>17</v>
      </c>
      <c r="D71" s="16">
        <v>28.56</v>
      </c>
      <c r="E71" s="16"/>
      <c r="F71" s="16">
        <v>0</v>
      </c>
      <c r="G71" s="16" t="s">
        <v>18</v>
      </c>
      <c r="H71" s="16" t="s">
        <v>54</v>
      </c>
      <c r="I71" s="16">
        <v>2.13</v>
      </c>
      <c r="J71" s="16">
        <v>6.2</v>
      </c>
      <c r="K71" s="16">
        <v>26.6</v>
      </c>
      <c r="L71" s="17" t="s">
        <v>309</v>
      </c>
      <c r="M71" s="17" t="s">
        <v>310</v>
      </c>
      <c r="N71" s="17"/>
      <c r="O71" s="17" t="s">
        <v>311</v>
      </c>
      <c r="P71" s="17" t="s">
        <v>312</v>
      </c>
      <c r="Q71" s="16" t="s">
        <v>32</v>
      </c>
      <c r="R71" s="16" t="s">
        <v>25</v>
      </c>
      <c r="T71" s="3"/>
      <c r="W71" s="3"/>
    </row>
    <row r="72" spans="1:23" s="12" customFormat="1" ht="17.100000000000001" customHeight="1" thickBot="1" x14ac:dyDescent="0.3">
      <c r="A72" s="24">
        <v>6493</v>
      </c>
      <c r="B72" s="22" t="s">
        <v>512</v>
      </c>
      <c r="C72" s="16" t="s">
        <v>17</v>
      </c>
      <c r="D72" s="16">
        <v>18.84</v>
      </c>
      <c r="E72" s="16"/>
      <c r="F72" s="16">
        <v>0</v>
      </c>
      <c r="G72" s="16" t="s">
        <v>18</v>
      </c>
      <c r="H72" s="16" t="s">
        <v>19</v>
      </c>
      <c r="I72" s="16">
        <v>7.08</v>
      </c>
      <c r="J72" s="16">
        <v>5.2</v>
      </c>
      <c r="K72" s="16">
        <v>17.7</v>
      </c>
      <c r="L72" s="17" t="s">
        <v>313</v>
      </c>
      <c r="M72" s="17" t="s">
        <v>314</v>
      </c>
      <c r="N72" s="17" t="s">
        <v>315</v>
      </c>
      <c r="O72" s="17" t="s">
        <v>316</v>
      </c>
      <c r="P72" s="17" t="s">
        <v>317</v>
      </c>
      <c r="Q72" s="16" t="s">
        <v>32</v>
      </c>
      <c r="R72" s="16" t="s">
        <v>25</v>
      </c>
      <c r="T72" s="3"/>
      <c r="W72" s="3"/>
    </row>
    <row r="73" spans="1:23" s="12" customFormat="1" ht="16.5" thickBot="1" x14ac:dyDescent="0.3">
      <c r="A73" s="24">
        <v>6501</v>
      </c>
      <c r="B73" s="22" t="s">
        <v>512</v>
      </c>
      <c r="C73" s="16" t="s">
        <v>17</v>
      </c>
      <c r="D73" s="16">
        <v>12.85</v>
      </c>
      <c r="E73" s="16"/>
      <c r="F73" s="16">
        <v>0</v>
      </c>
      <c r="G73" s="16" t="s">
        <v>18</v>
      </c>
      <c r="H73" s="16" t="s">
        <v>19</v>
      </c>
      <c r="I73" s="16">
        <v>9.69</v>
      </c>
      <c r="J73" s="16">
        <v>5.2</v>
      </c>
      <c r="K73" s="16">
        <v>15.8</v>
      </c>
      <c r="L73" s="17" t="s">
        <v>318</v>
      </c>
      <c r="M73" s="17" t="s">
        <v>319</v>
      </c>
      <c r="N73" s="17" t="s">
        <v>320</v>
      </c>
      <c r="O73" s="17" t="s">
        <v>321</v>
      </c>
      <c r="P73" s="17" t="s">
        <v>322</v>
      </c>
      <c r="Q73" s="16" t="s">
        <v>56</v>
      </c>
      <c r="R73" s="16" t="s">
        <v>25</v>
      </c>
      <c r="T73" s="3"/>
      <c r="W73" s="3"/>
    </row>
    <row r="74" spans="1:23" s="12" customFormat="1" ht="16.5" thickBot="1" x14ac:dyDescent="0.3">
      <c r="A74" s="24">
        <v>6506</v>
      </c>
      <c r="B74" s="22" t="s">
        <v>511</v>
      </c>
      <c r="C74" s="16" t="s">
        <v>452</v>
      </c>
      <c r="D74" s="16">
        <v>28.93</v>
      </c>
      <c r="E74" s="16"/>
      <c r="F74" s="16">
        <v>8</v>
      </c>
      <c r="G74" s="16" t="s">
        <v>18</v>
      </c>
      <c r="H74" s="16" t="s">
        <v>19</v>
      </c>
      <c r="I74" s="16" t="s">
        <v>335</v>
      </c>
      <c r="J74" s="16">
        <v>9.1</v>
      </c>
      <c r="K74" s="16">
        <v>24.6</v>
      </c>
      <c r="L74" s="17" t="s">
        <v>476</v>
      </c>
      <c r="M74" s="17" t="s">
        <v>477</v>
      </c>
      <c r="N74" s="17" t="s">
        <v>478</v>
      </c>
      <c r="O74" s="17" t="s">
        <v>479</v>
      </c>
      <c r="P74" s="17" t="s">
        <v>480</v>
      </c>
      <c r="Q74" s="16" t="s">
        <v>24</v>
      </c>
      <c r="R74" s="16" t="s">
        <v>25</v>
      </c>
      <c r="T74" s="3"/>
      <c r="W74" s="3"/>
    </row>
    <row r="75" spans="1:23" s="12" customFormat="1" ht="16.5" thickBot="1" x14ac:dyDescent="0.3">
      <c r="A75" s="24">
        <v>6510</v>
      </c>
      <c r="B75" s="22" t="s">
        <v>511</v>
      </c>
      <c r="C75" s="16" t="s">
        <v>352</v>
      </c>
      <c r="D75" s="16">
        <v>30.68</v>
      </c>
      <c r="E75" s="16"/>
      <c r="F75" s="16">
        <v>18</v>
      </c>
      <c r="G75" s="16" t="s">
        <v>18</v>
      </c>
      <c r="H75" s="16" t="s">
        <v>33</v>
      </c>
      <c r="I75" s="16" t="s">
        <v>335</v>
      </c>
      <c r="J75" s="16">
        <v>7.9</v>
      </c>
      <c r="K75" s="16">
        <v>27.5</v>
      </c>
      <c r="L75" s="17" t="s">
        <v>481</v>
      </c>
      <c r="M75" s="17" t="s">
        <v>482</v>
      </c>
      <c r="N75" s="17" t="s">
        <v>483</v>
      </c>
      <c r="O75" s="17" t="s">
        <v>484</v>
      </c>
      <c r="P75" s="17" t="s">
        <v>485</v>
      </c>
      <c r="Q75" s="16" t="s">
        <v>24</v>
      </c>
      <c r="R75" s="16" t="s">
        <v>25</v>
      </c>
      <c r="T75" s="3"/>
      <c r="W75" s="3"/>
    </row>
    <row r="76" spans="1:23" s="12" customFormat="1" ht="16.5" thickBot="1" x14ac:dyDescent="0.3">
      <c r="A76" s="24">
        <v>6511</v>
      </c>
      <c r="B76" s="22" t="s">
        <v>512</v>
      </c>
      <c r="C76" s="16" t="s">
        <v>17</v>
      </c>
      <c r="D76" s="16">
        <v>13.27</v>
      </c>
      <c r="E76" s="16"/>
      <c r="F76" s="16">
        <v>0</v>
      </c>
      <c r="G76" s="16" t="s">
        <v>26</v>
      </c>
      <c r="H76" s="16" t="s">
        <v>54</v>
      </c>
      <c r="I76" s="16">
        <v>0.41</v>
      </c>
      <c r="J76" s="16">
        <v>6.6</v>
      </c>
      <c r="K76" s="16">
        <v>22.4</v>
      </c>
      <c r="L76" s="17" t="s">
        <v>107</v>
      </c>
      <c r="M76" s="17" t="s">
        <v>108</v>
      </c>
      <c r="N76" s="17" t="s">
        <v>109</v>
      </c>
      <c r="O76" s="17" t="s">
        <v>110</v>
      </c>
      <c r="P76" s="17" t="s">
        <v>111</v>
      </c>
      <c r="Q76" s="16" t="s">
        <v>24</v>
      </c>
      <c r="R76" s="16" t="s">
        <v>25</v>
      </c>
      <c r="T76" s="3"/>
      <c r="W76" s="3"/>
    </row>
    <row r="77" spans="1:23" s="12" customFormat="1" ht="16.5" thickBot="1" x14ac:dyDescent="0.3">
      <c r="A77" s="24">
        <v>6516</v>
      </c>
      <c r="B77" s="22" t="s">
        <v>512</v>
      </c>
      <c r="C77" s="16" t="s">
        <v>17</v>
      </c>
      <c r="D77" s="16">
        <v>20.75</v>
      </c>
      <c r="E77" s="16"/>
      <c r="F77" s="16">
        <v>0</v>
      </c>
      <c r="G77" s="16" t="s">
        <v>18</v>
      </c>
      <c r="H77" s="16" t="s">
        <v>19</v>
      </c>
      <c r="I77" s="16">
        <v>8.91</v>
      </c>
      <c r="J77" s="16">
        <v>5.5</v>
      </c>
      <c r="K77" s="16">
        <v>28.8</v>
      </c>
      <c r="L77" s="17" t="s">
        <v>112</v>
      </c>
      <c r="M77" s="17" t="s">
        <v>113</v>
      </c>
      <c r="N77" s="17" t="s">
        <v>114</v>
      </c>
      <c r="O77" s="17" t="s">
        <v>115</v>
      </c>
      <c r="P77" s="17" t="s">
        <v>116</v>
      </c>
      <c r="Q77" s="16" t="s">
        <v>32</v>
      </c>
      <c r="R77" s="16" t="s">
        <v>25</v>
      </c>
      <c r="T77" s="3"/>
      <c r="W77" s="3"/>
    </row>
    <row r="78" spans="1:23" s="12" customFormat="1" ht="16.5" thickBot="1" x14ac:dyDescent="0.3">
      <c r="A78" s="24">
        <v>6519</v>
      </c>
      <c r="B78" s="22" t="s">
        <v>511</v>
      </c>
      <c r="C78" s="16" t="s">
        <v>438</v>
      </c>
      <c r="D78" s="16">
        <v>14.93</v>
      </c>
      <c r="E78" s="16"/>
      <c r="F78" s="16">
        <v>10</v>
      </c>
      <c r="G78" s="16" t="s">
        <v>18</v>
      </c>
      <c r="H78" s="16" t="s">
        <v>19</v>
      </c>
      <c r="I78" s="16" t="s">
        <v>335</v>
      </c>
      <c r="J78" s="16">
        <v>8.4</v>
      </c>
      <c r="K78" s="16">
        <v>20</v>
      </c>
      <c r="L78" s="17" t="s">
        <v>486</v>
      </c>
      <c r="M78" s="17" t="s">
        <v>487</v>
      </c>
      <c r="N78" s="17" t="s">
        <v>488</v>
      </c>
      <c r="O78" s="17" t="s">
        <v>489</v>
      </c>
      <c r="P78" s="17" t="s">
        <v>490</v>
      </c>
      <c r="Q78" s="16" t="s">
        <v>24</v>
      </c>
      <c r="R78" s="16" t="s">
        <v>25</v>
      </c>
      <c r="T78" s="3"/>
      <c r="W78" s="3"/>
    </row>
    <row r="79" spans="1:23" s="12" customFormat="1" ht="16.5" thickBot="1" x14ac:dyDescent="0.3">
      <c r="A79" s="24">
        <v>6520</v>
      </c>
      <c r="B79" s="22" t="s">
        <v>511</v>
      </c>
      <c r="C79" s="16" t="s">
        <v>414</v>
      </c>
      <c r="D79" s="16">
        <v>21.61</v>
      </c>
      <c r="E79" s="16"/>
      <c r="F79" s="16">
        <v>0</v>
      </c>
      <c r="G79" s="16" t="s">
        <v>18</v>
      </c>
      <c r="H79" s="16" t="s">
        <v>19</v>
      </c>
      <c r="I79" s="16">
        <v>0.37</v>
      </c>
      <c r="J79" s="16">
        <v>11.9</v>
      </c>
      <c r="K79" s="16">
        <v>29.3</v>
      </c>
      <c r="L79" s="17" t="s">
        <v>491</v>
      </c>
      <c r="M79" s="17" t="s">
        <v>492</v>
      </c>
      <c r="N79" s="17" t="s">
        <v>134</v>
      </c>
      <c r="O79" s="17" t="s">
        <v>493</v>
      </c>
      <c r="P79" s="17" t="s">
        <v>494</v>
      </c>
      <c r="Q79" s="16" t="s">
        <v>56</v>
      </c>
      <c r="R79" s="16" t="s">
        <v>25</v>
      </c>
      <c r="T79" s="3"/>
      <c r="W79" s="3"/>
    </row>
    <row r="80" spans="1:23" s="12" customFormat="1" ht="16.5" thickBot="1" x14ac:dyDescent="0.3">
      <c r="A80" s="24">
        <v>6523</v>
      </c>
      <c r="B80" s="22" t="s">
        <v>511</v>
      </c>
      <c r="C80" s="16" t="s">
        <v>352</v>
      </c>
      <c r="D80" s="16">
        <v>12.17</v>
      </c>
      <c r="E80" s="16"/>
      <c r="F80" s="16">
        <v>3</v>
      </c>
      <c r="G80" s="16" t="s">
        <v>26</v>
      </c>
      <c r="H80" s="16" t="s">
        <v>33</v>
      </c>
      <c r="I80" s="16">
        <v>0.04</v>
      </c>
      <c r="J80" s="16">
        <v>11.1</v>
      </c>
      <c r="K80" s="16">
        <v>22.5</v>
      </c>
      <c r="L80" s="17" t="s">
        <v>358</v>
      </c>
      <c r="M80" s="17" t="s">
        <v>359</v>
      </c>
      <c r="N80" s="17" t="s">
        <v>360</v>
      </c>
      <c r="O80" s="17" t="s">
        <v>361</v>
      </c>
      <c r="P80" s="17"/>
      <c r="Q80" s="16" t="s">
        <v>24</v>
      </c>
      <c r="R80" s="16" t="s">
        <v>25</v>
      </c>
      <c r="T80" s="3"/>
      <c r="W80" s="3"/>
    </row>
    <row r="81" spans="1:23" s="12" customFormat="1" ht="16.5" thickBot="1" x14ac:dyDescent="0.3">
      <c r="A81" s="24">
        <v>6525</v>
      </c>
      <c r="B81" s="22" t="s">
        <v>512</v>
      </c>
      <c r="C81" s="16" t="s">
        <v>17</v>
      </c>
      <c r="D81" s="16">
        <v>16.73</v>
      </c>
      <c r="E81" s="16"/>
      <c r="F81" s="16">
        <v>0</v>
      </c>
      <c r="G81" s="16" t="s">
        <v>18</v>
      </c>
      <c r="H81" s="16" t="s">
        <v>54</v>
      </c>
      <c r="I81" s="16">
        <v>2.65</v>
      </c>
      <c r="J81" s="16">
        <v>5.4</v>
      </c>
      <c r="K81" s="16">
        <v>18.585999999999999</v>
      </c>
      <c r="L81" s="17" t="s">
        <v>323</v>
      </c>
      <c r="M81" s="17" t="s">
        <v>324</v>
      </c>
      <c r="N81" s="17" t="s">
        <v>134</v>
      </c>
      <c r="O81" s="17" t="s">
        <v>325</v>
      </c>
      <c r="P81" s="17" t="s">
        <v>326</v>
      </c>
      <c r="Q81" s="16" t="s">
        <v>24</v>
      </c>
      <c r="R81" s="16" t="s">
        <v>25</v>
      </c>
      <c r="T81" s="3"/>
      <c r="W81" s="3"/>
    </row>
    <row r="82" spans="1:23" s="12" customFormat="1" ht="16.5" thickBot="1" x14ac:dyDescent="0.3">
      <c r="A82" s="24">
        <v>6526</v>
      </c>
      <c r="B82" s="22" t="s">
        <v>511</v>
      </c>
      <c r="C82" s="16" t="s">
        <v>438</v>
      </c>
      <c r="D82" s="16">
        <v>29.74</v>
      </c>
      <c r="E82" s="16"/>
      <c r="F82" s="16">
        <v>1</v>
      </c>
      <c r="G82" s="16" t="s">
        <v>18</v>
      </c>
      <c r="H82" s="16" t="s">
        <v>54</v>
      </c>
      <c r="I82" s="16">
        <v>7.0000000000000007E-2</v>
      </c>
      <c r="J82" s="16">
        <v>6.6</v>
      </c>
      <c r="K82" s="16">
        <v>23</v>
      </c>
      <c r="L82" s="17" t="s">
        <v>495</v>
      </c>
      <c r="M82" s="17" t="s">
        <v>496</v>
      </c>
      <c r="N82" s="17" t="s">
        <v>488</v>
      </c>
      <c r="O82" s="17" t="s">
        <v>497</v>
      </c>
      <c r="P82" s="17" t="s">
        <v>498</v>
      </c>
      <c r="Q82" s="16" t="s">
        <v>24</v>
      </c>
      <c r="R82" s="16" t="s">
        <v>25</v>
      </c>
      <c r="T82" s="3"/>
      <c r="W82" s="3"/>
    </row>
    <row r="83" spans="1:23" s="12" customFormat="1" ht="16.5" thickBot="1" x14ac:dyDescent="0.3">
      <c r="A83" s="24">
        <v>6528</v>
      </c>
      <c r="B83" s="22" t="s">
        <v>511</v>
      </c>
      <c r="C83" s="16" t="s">
        <v>17</v>
      </c>
      <c r="D83" s="16">
        <v>13.76</v>
      </c>
      <c r="E83" s="16"/>
      <c r="F83" s="16">
        <v>0</v>
      </c>
      <c r="G83" s="16" t="s">
        <v>18</v>
      </c>
      <c r="H83" s="16" t="s">
        <v>33</v>
      </c>
      <c r="I83" s="16">
        <v>0.39</v>
      </c>
      <c r="J83" s="16">
        <v>12.3</v>
      </c>
      <c r="K83" s="16">
        <v>24</v>
      </c>
      <c r="L83" s="17" t="s">
        <v>392</v>
      </c>
      <c r="M83" s="17" t="s">
        <v>393</v>
      </c>
      <c r="N83" s="17" t="s">
        <v>394</v>
      </c>
      <c r="O83" s="17" t="s">
        <v>395</v>
      </c>
      <c r="P83" s="17" t="s">
        <v>396</v>
      </c>
      <c r="Q83" s="16" t="s">
        <v>24</v>
      </c>
      <c r="R83" s="16" t="s">
        <v>25</v>
      </c>
      <c r="T83" s="3"/>
      <c r="W83" s="3"/>
    </row>
    <row r="84" spans="1:23" s="12" customFormat="1" ht="16.5" thickBot="1" x14ac:dyDescent="0.3">
      <c r="A84" s="24">
        <v>6529</v>
      </c>
      <c r="B84" s="22" t="s">
        <v>511</v>
      </c>
      <c r="C84" s="16" t="s">
        <v>499</v>
      </c>
      <c r="D84" s="16">
        <v>12.02</v>
      </c>
      <c r="E84" s="16"/>
      <c r="F84" s="16">
        <v>7</v>
      </c>
      <c r="G84" s="16" t="s">
        <v>26</v>
      </c>
      <c r="H84" s="16" t="s">
        <v>33</v>
      </c>
      <c r="I84" s="16">
        <v>0.08</v>
      </c>
      <c r="J84" s="16">
        <v>14.1</v>
      </c>
      <c r="K84" s="16">
        <v>22.3</v>
      </c>
      <c r="L84" s="17" t="s">
        <v>500</v>
      </c>
      <c r="M84" s="17" t="s">
        <v>501</v>
      </c>
      <c r="N84" s="17" t="s">
        <v>502</v>
      </c>
      <c r="O84" s="17" t="s">
        <v>503</v>
      </c>
      <c r="P84" s="17" t="s">
        <v>504</v>
      </c>
      <c r="Q84" s="16" t="s">
        <v>24</v>
      </c>
      <c r="R84" s="16" t="s">
        <v>25</v>
      </c>
      <c r="T84" s="3"/>
      <c r="W84" s="3"/>
    </row>
    <row r="85" spans="1:23" s="12" customFormat="1" ht="16.5" thickBot="1" x14ac:dyDescent="0.3">
      <c r="A85" s="24">
        <v>6530</v>
      </c>
      <c r="B85" s="22" t="s">
        <v>512</v>
      </c>
      <c r="C85" s="16" t="s">
        <v>17</v>
      </c>
      <c r="D85" s="16">
        <v>14.52</v>
      </c>
      <c r="E85" s="16"/>
      <c r="F85" s="16">
        <v>0</v>
      </c>
      <c r="G85" s="16" t="s">
        <v>26</v>
      </c>
      <c r="H85" s="16" t="s">
        <v>33</v>
      </c>
      <c r="I85" s="16">
        <v>7.41</v>
      </c>
      <c r="J85" s="16">
        <v>6</v>
      </c>
      <c r="K85" s="16">
        <v>22.5</v>
      </c>
      <c r="L85" s="17" t="s">
        <v>121</v>
      </c>
      <c r="M85" s="17" t="s">
        <v>122</v>
      </c>
      <c r="N85" s="17" t="s">
        <v>123</v>
      </c>
      <c r="O85" s="17" t="s">
        <v>124</v>
      </c>
      <c r="P85" s="17" t="s">
        <v>125</v>
      </c>
      <c r="Q85" s="16" t="s">
        <v>126</v>
      </c>
      <c r="R85" s="16" t="s">
        <v>25</v>
      </c>
      <c r="T85" s="3"/>
      <c r="W85" s="3"/>
    </row>
    <row r="86" spans="1:23" s="12" customFormat="1" ht="15.95" customHeight="1" thickBot="1" x14ac:dyDescent="0.3">
      <c r="A86" s="24">
        <v>6531</v>
      </c>
      <c r="B86" s="22" t="s">
        <v>512</v>
      </c>
      <c r="C86" s="16" t="s">
        <v>17</v>
      </c>
      <c r="D86" s="16">
        <v>19.25</v>
      </c>
      <c r="E86" s="16"/>
      <c r="F86" s="16">
        <v>0</v>
      </c>
      <c r="G86" s="16" t="s">
        <v>26</v>
      </c>
      <c r="H86" s="16" t="s">
        <v>54</v>
      </c>
      <c r="I86" s="16">
        <v>26.53</v>
      </c>
      <c r="J86" s="16">
        <v>5.5</v>
      </c>
      <c r="K86" s="16">
        <v>30</v>
      </c>
      <c r="L86" s="17" t="s">
        <v>127</v>
      </c>
      <c r="M86" s="17" t="s">
        <v>128</v>
      </c>
      <c r="N86" s="17" t="s">
        <v>129</v>
      </c>
      <c r="O86" s="17" t="s">
        <v>130</v>
      </c>
      <c r="P86" s="18" t="s">
        <v>131</v>
      </c>
      <c r="Q86" s="16" t="s">
        <v>32</v>
      </c>
      <c r="R86" s="16" t="s">
        <v>25</v>
      </c>
      <c r="T86" s="3"/>
      <c r="W86" s="3"/>
    </row>
    <row r="87" spans="1:23" s="12" customFormat="1" ht="16.5" thickBot="1" x14ac:dyDescent="0.3">
      <c r="A87" s="24">
        <v>6533</v>
      </c>
      <c r="B87" s="22" t="s">
        <v>511</v>
      </c>
      <c r="C87" s="16" t="s">
        <v>362</v>
      </c>
      <c r="D87" s="16">
        <v>3.75</v>
      </c>
      <c r="E87" s="16"/>
      <c r="F87" s="16">
        <v>0</v>
      </c>
      <c r="G87" s="16" t="s">
        <v>26</v>
      </c>
      <c r="H87" s="16" t="s">
        <v>19</v>
      </c>
      <c r="I87" s="16">
        <v>0.17</v>
      </c>
      <c r="J87" s="16">
        <v>11.4</v>
      </c>
      <c r="K87" s="16">
        <v>17.7</v>
      </c>
      <c r="L87" s="17" t="s">
        <v>363</v>
      </c>
      <c r="M87" s="17" t="s">
        <v>364</v>
      </c>
      <c r="N87" s="17" t="s">
        <v>365</v>
      </c>
      <c r="O87" s="17" t="s">
        <v>366</v>
      </c>
      <c r="P87" s="17" t="s">
        <v>367</v>
      </c>
      <c r="Q87" s="16" t="s">
        <v>24</v>
      </c>
      <c r="R87" s="16" t="s">
        <v>25</v>
      </c>
      <c r="T87" s="3"/>
      <c r="W87" s="3"/>
    </row>
    <row r="88" spans="1:23" s="12" customFormat="1" ht="16.5" thickBot="1" x14ac:dyDescent="0.3">
      <c r="A88" s="24">
        <v>6534</v>
      </c>
      <c r="B88" s="22" t="s">
        <v>511</v>
      </c>
      <c r="C88" s="16" t="s">
        <v>368</v>
      </c>
      <c r="D88" s="16">
        <v>4.1900000000000004</v>
      </c>
      <c r="E88" s="16"/>
      <c r="F88" s="16">
        <v>0</v>
      </c>
      <c r="G88" s="16" t="s">
        <v>26</v>
      </c>
      <c r="H88" s="16" t="s">
        <v>19</v>
      </c>
      <c r="I88" s="16">
        <v>0.05</v>
      </c>
      <c r="J88" s="16">
        <v>15.6</v>
      </c>
      <c r="K88" s="16">
        <v>22.6</v>
      </c>
      <c r="L88" s="17" t="s">
        <v>369</v>
      </c>
      <c r="M88" s="17" t="s">
        <v>370</v>
      </c>
      <c r="N88" s="17" t="s">
        <v>371</v>
      </c>
      <c r="O88" s="17" t="s">
        <v>372</v>
      </c>
      <c r="P88" s="17" t="s">
        <v>373</v>
      </c>
      <c r="Q88" s="16" t="s">
        <v>24</v>
      </c>
      <c r="R88" s="16" t="s">
        <v>25</v>
      </c>
      <c r="T88" s="3"/>
      <c r="W88" s="3"/>
    </row>
    <row r="89" spans="1:23" s="12" customFormat="1" ht="16.5" thickBot="1" x14ac:dyDescent="0.3">
      <c r="A89" s="24">
        <v>6535</v>
      </c>
      <c r="B89" s="22" t="s">
        <v>512</v>
      </c>
      <c r="C89" s="16" t="s">
        <v>17</v>
      </c>
      <c r="D89" s="16">
        <v>31.07</v>
      </c>
      <c r="E89" s="16"/>
      <c r="F89" s="16">
        <v>0</v>
      </c>
      <c r="G89" s="16" t="s">
        <v>26</v>
      </c>
      <c r="H89" s="16" t="s">
        <v>19</v>
      </c>
      <c r="I89" s="16">
        <v>6.59</v>
      </c>
      <c r="J89" s="16" t="s">
        <v>55</v>
      </c>
      <c r="K89" s="16">
        <v>29.6</v>
      </c>
      <c r="L89" s="17" t="s">
        <v>132</v>
      </c>
      <c r="M89" s="17" t="s">
        <v>133</v>
      </c>
      <c r="N89" s="17" t="s">
        <v>134</v>
      </c>
      <c r="O89" s="17" t="s">
        <v>135</v>
      </c>
      <c r="P89" s="17" t="s">
        <v>136</v>
      </c>
      <c r="Q89" s="16" t="s">
        <v>32</v>
      </c>
      <c r="R89" s="16" t="s">
        <v>25</v>
      </c>
      <c r="T89" s="3"/>
      <c r="W89" s="3"/>
    </row>
    <row r="90" spans="1:23" s="12" customFormat="1" ht="16.5" thickBot="1" x14ac:dyDescent="0.3">
      <c r="A90" s="24">
        <v>6536</v>
      </c>
      <c r="B90" s="22" t="s">
        <v>511</v>
      </c>
      <c r="C90" s="16" t="s">
        <v>374</v>
      </c>
      <c r="D90" s="16">
        <v>20.16</v>
      </c>
      <c r="E90" s="16"/>
      <c r="F90" s="16">
        <v>4</v>
      </c>
      <c r="G90" s="16" t="s">
        <v>26</v>
      </c>
      <c r="H90" s="16" t="s">
        <v>19</v>
      </c>
      <c r="I90" s="16">
        <v>0.04</v>
      </c>
      <c r="J90" s="16">
        <v>12.7</v>
      </c>
      <c r="K90" s="16">
        <v>25.4</v>
      </c>
      <c r="L90" s="17" t="s">
        <v>375</v>
      </c>
      <c r="M90" s="17" t="s">
        <v>376</v>
      </c>
      <c r="N90" s="17" t="s">
        <v>377</v>
      </c>
      <c r="O90" s="17" t="s">
        <v>378</v>
      </c>
      <c r="P90" s="17" t="s">
        <v>379</v>
      </c>
      <c r="Q90" s="16" t="s">
        <v>24</v>
      </c>
      <c r="R90" s="16" t="s">
        <v>25</v>
      </c>
      <c r="T90" s="3"/>
      <c r="W90" s="3"/>
    </row>
    <row r="91" spans="1:23" s="12" customFormat="1" ht="16.5" thickBot="1" x14ac:dyDescent="0.3">
      <c r="A91" s="24">
        <v>6537</v>
      </c>
      <c r="B91" s="22" t="s">
        <v>512</v>
      </c>
      <c r="C91" s="16" t="s">
        <v>17</v>
      </c>
      <c r="D91" s="16">
        <v>33.049999999999997</v>
      </c>
      <c r="E91" s="16"/>
      <c r="F91" s="16">
        <v>0</v>
      </c>
      <c r="G91" s="16" t="s">
        <v>18</v>
      </c>
      <c r="H91" s="16" t="s">
        <v>19</v>
      </c>
      <c r="I91" s="16">
        <v>0.32</v>
      </c>
      <c r="J91" s="16">
        <v>5.6</v>
      </c>
      <c r="K91" s="16">
        <v>20.8</v>
      </c>
      <c r="L91" s="17" t="s">
        <v>137</v>
      </c>
      <c r="M91" s="17" t="s">
        <v>138</v>
      </c>
      <c r="N91" s="17" t="s">
        <v>139</v>
      </c>
      <c r="O91" s="17" t="s">
        <v>140</v>
      </c>
      <c r="P91" s="17" t="s">
        <v>141</v>
      </c>
      <c r="Q91" s="16" t="s">
        <v>32</v>
      </c>
      <c r="R91" s="16" t="s">
        <v>25</v>
      </c>
      <c r="T91" s="3"/>
      <c r="W91" s="3"/>
    </row>
    <row r="92" spans="1:23" s="12" customFormat="1" ht="15.95" customHeight="1" thickBot="1" x14ac:dyDescent="0.3">
      <c r="A92" s="24">
        <v>6543</v>
      </c>
      <c r="B92" s="22" t="s">
        <v>512</v>
      </c>
      <c r="C92" s="16" t="s">
        <v>17</v>
      </c>
      <c r="D92" s="16">
        <v>3.5</v>
      </c>
      <c r="E92" s="16"/>
      <c r="F92" s="16">
        <v>0</v>
      </c>
      <c r="G92" s="16" t="s">
        <v>18</v>
      </c>
      <c r="H92" s="16" t="s">
        <v>19</v>
      </c>
      <c r="I92" s="16">
        <v>1.45</v>
      </c>
      <c r="J92" s="16">
        <v>5.3</v>
      </c>
      <c r="K92" s="16">
        <v>17.399999999999999</v>
      </c>
      <c r="L92" s="18" t="s">
        <v>49</v>
      </c>
      <c r="M92" s="17" t="s">
        <v>50</v>
      </c>
      <c r="N92" s="17" t="s">
        <v>51</v>
      </c>
      <c r="O92" s="17" t="s">
        <v>52</v>
      </c>
      <c r="P92" s="17" t="s">
        <v>53</v>
      </c>
      <c r="Q92" s="16" t="s">
        <v>24</v>
      </c>
      <c r="R92" s="16" t="s">
        <v>25</v>
      </c>
      <c r="T92" s="3"/>
      <c r="W92" s="3"/>
    </row>
    <row r="93" spans="1:23" s="12" customFormat="1" ht="16.5" thickBot="1" x14ac:dyDescent="0.3">
      <c r="A93" s="24">
        <v>6544</v>
      </c>
      <c r="B93" s="22" t="s">
        <v>512</v>
      </c>
      <c r="C93" s="16" t="s">
        <v>17</v>
      </c>
      <c r="D93" s="16">
        <v>12.45</v>
      </c>
      <c r="E93" s="16"/>
      <c r="F93" s="16">
        <v>0</v>
      </c>
      <c r="G93" s="16" t="s">
        <v>18</v>
      </c>
      <c r="H93" s="16" t="s">
        <v>33</v>
      </c>
      <c r="I93" s="16">
        <v>8.66</v>
      </c>
      <c r="J93" s="16">
        <v>5.2</v>
      </c>
      <c r="K93" s="16">
        <v>23.4</v>
      </c>
      <c r="L93" s="17" t="s">
        <v>44</v>
      </c>
      <c r="M93" s="17" t="s">
        <v>45</v>
      </c>
      <c r="N93" s="17" t="s">
        <v>46</v>
      </c>
      <c r="O93" s="17" t="s">
        <v>47</v>
      </c>
      <c r="P93" s="17" t="s">
        <v>48</v>
      </c>
      <c r="Q93" s="16" t="s">
        <v>24</v>
      </c>
      <c r="R93" s="16" t="s">
        <v>25</v>
      </c>
      <c r="T93" s="3"/>
      <c r="W93" s="3"/>
    </row>
    <row r="94" spans="1:23" s="12" customFormat="1" ht="16.5" thickBot="1" x14ac:dyDescent="0.3">
      <c r="A94" s="24">
        <v>6546</v>
      </c>
      <c r="B94" s="22" t="s">
        <v>512</v>
      </c>
      <c r="C94" s="16" t="s">
        <v>17</v>
      </c>
      <c r="D94" s="16">
        <v>22.29</v>
      </c>
      <c r="E94" s="16"/>
      <c r="F94" s="16">
        <v>0</v>
      </c>
      <c r="G94" s="16" t="s">
        <v>18</v>
      </c>
      <c r="H94" s="16" t="s">
        <v>39</v>
      </c>
      <c r="I94" s="16">
        <v>11</v>
      </c>
      <c r="J94" s="16">
        <v>5.6</v>
      </c>
      <c r="K94" s="16">
        <v>23.7</v>
      </c>
      <c r="L94" s="17" t="s">
        <v>40</v>
      </c>
      <c r="M94" s="17" t="s">
        <v>41</v>
      </c>
      <c r="N94" s="17" t="s">
        <v>36</v>
      </c>
      <c r="O94" s="17" t="s">
        <v>42</v>
      </c>
      <c r="P94" s="17" t="s">
        <v>43</v>
      </c>
      <c r="Q94" s="16" t="s">
        <v>24</v>
      </c>
      <c r="R94" s="16" t="s">
        <v>25</v>
      </c>
      <c r="T94" s="3"/>
      <c r="W94" s="3"/>
    </row>
    <row r="95" spans="1:23" s="12" customFormat="1" ht="16.5" thickBot="1" x14ac:dyDescent="0.3">
      <c r="A95" s="24">
        <v>6547</v>
      </c>
      <c r="B95" s="22" t="s">
        <v>512</v>
      </c>
      <c r="C95" s="16" t="s">
        <v>17</v>
      </c>
      <c r="D95" s="16">
        <v>6.64</v>
      </c>
      <c r="E95" s="16"/>
      <c r="F95" s="16">
        <v>0</v>
      </c>
      <c r="G95" s="16" t="s">
        <v>26</v>
      </c>
      <c r="H95" s="16" t="s">
        <v>33</v>
      </c>
      <c r="I95" s="16">
        <v>3.89</v>
      </c>
      <c r="J95" s="16">
        <v>5.5</v>
      </c>
      <c r="K95" s="16">
        <v>24.8</v>
      </c>
      <c r="L95" s="17" t="s">
        <v>34</v>
      </c>
      <c r="M95" s="17" t="s">
        <v>35</v>
      </c>
      <c r="N95" s="17" t="s">
        <v>36</v>
      </c>
      <c r="O95" s="17" t="s">
        <v>37</v>
      </c>
      <c r="P95" s="17" t="s">
        <v>38</v>
      </c>
      <c r="Q95" s="16" t="s">
        <v>24</v>
      </c>
      <c r="R95" s="16" t="s">
        <v>25</v>
      </c>
      <c r="T95" s="3"/>
      <c r="W95" s="3"/>
    </row>
    <row r="96" spans="1:23" s="12" customFormat="1" ht="16.5" thickBot="1" x14ac:dyDescent="0.3">
      <c r="A96" s="24">
        <v>6548</v>
      </c>
      <c r="B96" s="22" t="s">
        <v>512</v>
      </c>
      <c r="C96" s="16" t="s">
        <v>17</v>
      </c>
      <c r="D96" s="16">
        <v>20.239999999999998</v>
      </c>
      <c r="E96" s="16"/>
      <c r="F96" s="16">
        <v>0</v>
      </c>
      <c r="G96" s="16" t="s">
        <v>18</v>
      </c>
      <c r="H96" s="16" t="s">
        <v>19</v>
      </c>
      <c r="I96" s="16">
        <v>4.04</v>
      </c>
      <c r="J96" s="16">
        <v>5.7</v>
      </c>
      <c r="K96" s="16">
        <v>23.8</v>
      </c>
      <c r="L96" s="17" t="s">
        <v>142</v>
      </c>
      <c r="M96" s="17" t="s">
        <v>143</v>
      </c>
      <c r="N96" s="17" t="s">
        <v>119</v>
      </c>
      <c r="O96" s="17" t="s">
        <v>144</v>
      </c>
      <c r="P96" s="17" t="s">
        <v>145</v>
      </c>
      <c r="Q96" s="16" t="s">
        <v>32</v>
      </c>
      <c r="R96" s="16" t="s">
        <v>25</v>
      </c>
      <c r="T96" s="3"/>
      <c r="W96" s="3"/>
    </row>
    <row r="97" spans="1:23" s="12" customFormat="1" ht="16.5" thickBot="1" x14ac:dyDescent="0.3">
      <c r="A97" s="24">
        <v>6551</v>
      </c>
      <c r="B97" s="22" t="s">
        <v>511</v>
      </c>
      <c r="C97" s="16" t="s">
        <v>380</v>
      </c>
      <c r="D97" s="16">
        <v>20.7</v>
      </c>
      <c r="E97" s="16"/>
      <c r="F97" s="16">
        <v>0.57999999999999996</v>
      </c>
      <c r="G97" s="16" t="s">
        <v>18</v>
      </c>
      <c r="H97" s="16" t="s">
        <v>19</v>
      </c>
      <c r="I97" s="16">
        <v>0.11</v>
      </c>
      <c r="J97" s="16">
        <v>6.4</v>
      </c>
      <c r="K97" s="16">
        <v>23.1</v>
      </c>
      <c r="L97" s="17" t="s">
        <v>381</v>
      </c>
      <c r="M97" s="17" t="s">
        <v>382</v>
      </c>
      <c r="N97" s="17" t="s">
        <v>383</v>
      </c>
      <c r="O97" s="17" t="s">
        <v>384</v>
      </c>
      <c r="P97" s="17" t="s">
        <v>385</v>
      </c>
      <c r="Q97" s="16" t="s">
        <v>24</v>
      </c>
      <c r="R97" s="16" t="s">
        <v>25</v>
      </c>
      <c r="T97" s="3"/>
      <c r="W97" s="3"/>
    </row>
    <row r="98" spans="1:23" s="12" customFormat="1" ht="16.5" thickBot="1" x14ac:dyDescent="0.3">
      <c r="A98" s="24">
        <v>6552</v>
      </c>
      <c r="B98" s="22" t="s">
        <v>512</v>
      </c>
      <c r="C98" s="16" t="s">
        <v>17</v>
      </c>
      <c r="D98" s="16">
        <v>33.869999999999997</v>
      </c>
      <c r="E98" s="16"/>
      <c r="F98" s="16">
        <v>0</v>
      </c>
      <c r="G98" s="16" t="s">
        <v>26</v>
      </c>
      <c r="H98" s="16" t="s">
        <v>19</v>
      </c>
      <c r="I98" s="16">
        <v>1.8</v>
      </c>
      <c r="J98" s="16">
        <v>5.6</v>
      </c>
      <c r="K98" s="16">
        <v>21.9</v>
      </c>
      <c r="L98" s="17" t="s">
        <v>27</v>
      </c>
      <c r="M98" s="17" t="s">
        <v>28</v>
      </c>
      <c r="N98" s="17" t="s">
        <v>29</v>
      </c>
      <c r="O98" s="17" t="s">
        <v>30</v>
      </c>
      <c r="P98" s="17" t="s">
        <v>31</v>
      </c>
      <c r="Q98" s="16" t="s">
        <v>32</v>
      </c>
      <c r="R98" s="16" t="s">
        <v>25</v>
      </c>
      <c r="T98" s="3"/>
      <c r="W98" s="3"/>
    </row>
    <row r="99" spans="1:23" s="12" customFormat="1" ht="15.95" customHeight="1" thickBot="1" x14ac:dyDescent="0.3">
      <c r="A99" s="25">
        <v>6557</v>
      </c>
      <c r="B99" s="23" t="s">
        <v>512</v>
      </c>
      <c r="C99" s="16" t="s">
        <v>17</v>
      </c>
      <c r="D99" s="16">
        <v>37.44</v>
      </c>
      <c r="E99" s="16"/>
      <c r="F99" s="16">
        <v>0</v>
      </c>
      <c r="G99" s="16" t="s">
        <v>18</v>
      </c>
      <c r="H99" s="16" t="s">
        <v>19</v>
      </c>
      <c r="I99" s="16">
        <v>2.1800000000000002</v>
      </c>
      <c r="J99" s="16">
        <v>4.4000000000000004</v>
      </c>
      <c r="K99" s="16">
        <v>25.2</v>
      </c>
      <c r="L99" s="17" t="s">
        <v>20</v>
      </c>
      <c r="M99" s="18" t="s">
        <v>21</v>
      </c>
      <c r="N99" s="17" t="s">
        <v>22</v>
      </c>
      <c r="O99" s="17"/>
      <c r="P99" s="17" t="s">
        <v>23</v>
      </c>
      <c r="Q99" s="16" t="s">
        <v>24</v>
      </c>
      <c r="R99" s="16" t="s">
        <v>25</v>
      </c>
      <c r="T99" s="3"/>
      <c r="W99" s="3"/>
    </row>
    <row r="100" spans="1:23" s="12" customFormat="1" ht="16.5" thickBot="1" x14ac:dyDescent="0.3">
      <c r="A100" s="24">
        <v>6560</v>
      </c>
      <c r="B100" s="22" t="s">
        <v>512</v>
      </c>
      <c r="C100" s="16" t="s">
        <v>17</v>
      </c>
      <c r="D100" s="16">
        <v>34.36</v>
      </c>
      <c r="E100" s="16"/>
      <c r="F100" s="16">
        <v>0</v>
      </c>
      <c r="G100" s="16" t="s">
        <v>26</v>
      </c>
      <c r="H100" s="16" t="s">
        <v>19</v>
      </c>
      <c r="I100" s="16">
        <v>10.36</v>
      </c>
      <c r="J100" s="16">
        <v>5.9</v>
      </c>
      <c r="K100" s="16">
        <v>26.6</v>
      </c>
      <c r="L100" s="17" t="s">
        <v>117</v>
      </c>
      <c r="M100" s="17" t="s">
        <v>118</v>
      </c>
      <c r="N100" s="17" t="s">
        <v>119</v>
      </c>
      <c r="O100" s="17"/>
      <c r="P100" s="17" t="s">
        <v>120</v>
      </c>
      <c r="Q100" s="16" t="s">
        <v>56</v>
      </c>
      <c r="R100" s="16" t="s">
        <v>25</v>
      </c>
      <c r="T100" s="3"/>
      <c r="W100" s="3"/>
    </row>
    <row r="101" spans="1:23" s="12" customFormat="1" ht="16.5" thickBot="1" x14ac:dyDescent="0.3">
      <c r="A101" s="24">
        <v>6563</v>
      </c>
      <c r="B101" s="22" t="s">
        <v>511</v>
      </c>
      <c r="C101" s="16" t="s">
        <v>397</v>
      </c>
      <c r="D101" s="16">
        <v>14.56</v>
      </c>
      <c r="E101" s="16"/>
      <c r="F101" s="16">
        <v>0</v>
      </c>
      <c r="G101" s="16" t="s">
        <v>26</v>
      </c>
      <c r="H101" s="16" t="s">
        <v>19</v>
      </c>
      <c r="I101" s="16">
        <v>1.04</v>
      </c>
      <c r="J101" s="16">
        <v>9.6</v>
      </c>
      <c r="K101" s="16">
        <v>25.5</v>
      </c>
      <c r="L101" s="17" t="s">
        <v>398</v>
      </c>
      <c r="M101" s="17" t="s">
        <v>399</v>
      </c>
      <c r="N101" s="17" t="s">
        <v>400</v>
      </c>
      <c r="O101" s="17" t="s">
        <v>401</v>
      </c>
      <c r="P101" s="17" t="s">
        <v>402</v>
      </c>
      <c r="Q101" s="16" t="s">
        <v>24</v>
      </c>
      <c r="R101" s="16" t="s">
        <v>25</v>
      </c>
      <c r="T101" s="3"/>
      <c r="W101" s="3"/>
    </row>
    <row r="102" spans="1:23" s="12" customFormat="1" ht="16.5" thickBot="1" x14ac:dyDescent="0.3">
      <c r="A102" s="24">
        <v>6583</v>
      </c>
      <c r="B102" s="22" t="s">
        <v>512</v>
      </c>
      <c r="C102" s="16" t="s">
        <v>17</v>
      </c>
      <c r="D102" s="16">
        <v>30.54</v>
      </c>
      <c r="E102" s="16"/>
      <c r="F102" s="16">
        <v>0</v>
      </c>
      <c r="G102" s="16" t="s">
        <v>18</v>
      </c>
      <c r="H102" s="16" t="s">
        <v>19</v>
      </c>
      <c r="I102" s="16">
        <v>10.55</v>
      </c>
      <c r="J102" s="16">
        <v>5</v>
      </c>
      <c r="K102" s="16">
        <v>24.8</v>
      </c>
      <c r="L102" s="17" t="s">
        <v>327</v>
      </c>
      <c r="M102" s="17" t="s">
        <v>328</v>
      </c>
      <c r="N102" s="17" t="s">
        <v>329</v>
      </c>
      <c r="O102" s="17" t="s">
        <v>330</v>
      </c>
      <c r="P102" s="17" t="s">
        <v>331</v>
      </c>
      <c r="Q102" s="16" t="s">
        <v>32</v>
      </c>
      <c r="R102" s="16" t="s">
        <v>25</v>
      </c>
      <c r="T102" s="3"/>
      <c r="W102" s="3"/>
    </row>
    <row r="103" spans="1:23" s="12" customFormat="1" ht="16.5" thickBot="1" x14ac:dyDescent="0.3">
      <c r="A103" s="24">
        <v>6593</v>
      </c>
      <c r="B103" s="22" t="s">
        <v>511</v>
      </c>
      <c r="C103" s="16" t="s">
        <v>386</v>
      </c>
      <c r="D103" s="16">
        <v>26.64</v>
      </c>
      <c r="E103" s="16"/>
      <c r="F103" s="16">
        <v>1</v>
      </c>
      <c r="G103" s="16" t="s">
        <v>18</v>
      </c>
      <c r="H103" s="16" t="s">
        <v>19</v>
      </c>
      <c r="I103" s="16">
        <v>0.02</v>
      </c>
      <c r="J103" s="16">
        <v>10.5</v>
      </c>
      <c r="K103" s="16">
        <v>29.5</v>
      </c>
      <c r="L103" s="17" t="s">
        <v>387</v>
      </c>
      <c r="M103" s="17" t="s">
        <v>388</v>
      </c>
      <c r="N103" s="17" t="s">
        <v>389</v>
      </c>
      <c r="O103" s="17" t="s">
        <v>390</v>
      </c>
      <c r="P103" s="17" t="s">
        <v>391</v>
      </c>
      <c r="Q103" s="16" t="s">
        <v>24</v>
      </c>
      <c r="R103" s="16" t="s">
        <v>25</v>
      </c>
      <c r="T103" s="3"/>
      <c r="W103" s="3"/>
    </row>
    <row r="104" spans="1:23" s="12" customFormat="1" ht="16.5" thickBot="1" x14ac:dyDescent="0.3">
      <c r="A104" s="24" t="s">
        <v>505</v>
      </c>
      <c r="B104" s="22" t="s">
        <v>511</v>
      </c>
      <c r="C104" s="16" t="s">
        <v>17</v>
      </c>
      <c r="D104" s="16">
        <v>18.93</v>
      </c>
      <c r="E104" s="16"/>
      <c r="F104" s="16">
        <v>5</v>
      </c>
      <c r="G104" s="16" t="s">
        <v>18</v>
      </c>
      <c r="H104" s="16" t="s">
        <v>19</v>
      </c>
      <c r="I104" s="16">
        <v>0.09</v>
      </c>
      <c r="J104" s="16">
        <v>12.5</v>
      </c>
      <c r="K104" s="16">
        <v>21.4</v>
      </c>
      <c r="L104" s="17" t="s">
        <v>506</v>
      </c>
      <c r="M104" s="17" t="s">
        <v>507</v>
      </c>
      <c r="N104" s="17" t="s">
        <v>508</v>
      </c>
      <c r="O104" s="17"/>
      <c r="P104" s="17" t="s">
        <v>509</v>
      </c>
      <c r="Q104" s="16" t="s">
        <v>24</v>
      </c>
      <c r="R104" s="16" t="s">
        <v>25</v>
      </c>
      <c r="T104" s="3"/>
      <c r="W104" s="3"/>
    </row>
    <row r="105" spans="1:23" s="12" customFormat="1" ht="16.5" thickBot="1" x14ac:dyDescent="0.3">
      <c r="A105" s="24" t="s">
        <v>339</v>
      </c>
      <c r="B105" s="22" t="s">
        <v>511</v>
      </c>
      <c r="C105" s="16" t="s">
        <v>17</v>
      </c>
      <c r="D105" s="16">
        <v>24.16</v>
      </c>
      <c r="E105" s="16"/>
      <c r="F105" s="16">
        <v>12</v>
      </c>
      <c r="G105" s="16" t="s">
        <v>26</v>
      </c>
      <c r="H105" s="16" t="s">
        <v>19</v>
      </c>
      <c r="I105" s="16" t="s">
        <v>335</v>
      </c>
      <c r="J105" s="16">
        <v>7.6</v>
      </c>
      <c r="K105" s="16">
        <v>20.9</v>
      </c>
      <c r="L105" s="17" t="s">
        <v>340</v>
      </c>
      <c r="M105" s="17" t="s">
        <v>341</v>
      </c>
      <c r="N105" s="17"/>
      <c r="O105" s="17"/>
      <c r="P105" s="17" t="s">
        <v>342</v>
      </c>
      <c r="Q105" s="16" t="s">
        <v>24</v>
      </c>
      <c r="R105" s="16" t="s">
        <v>25</v>
      </c>
      <c r="T105" s="3"/>
      <c r="W105" s="3"/>
    </row>
    <row r="106" spans="1:23" s="12" customFormat="1" ht="16.5" thickBot="1" x14ac:dyDescent="0.3">
      <c r="A106" s="24" t="s">
        <v>343</v>
      </c>
      <c r="B106" s="22" t="s">
        <v>511</v>
      </c>
      <c r="C106" s="16" t="s">
        <v>17</v>
      </c>
      <c r="D106" s="16">
        <v>27</v>
      </c>
      <c r="E106" s="16"/>
      <c r="F106" s="16">
        <v>10</v>
      </c>
      <c r="G106" s="16" t="s">
        <v>18</v>
      </c>
      <c r="H106" s="16" t="s">
        <v>54</v>
      </c>
      <c r="I106" s="16" t="s">
        <v>335</v>
      </c>
      <c r="J106" s="16">
        <v>10.199999999999999</v>
      </c>
      <c r="K106" s="16">
        <v>25.03</v>
      </c>
      <c r="L106" s="17" t="s">
        <v>344</v>
      </c>
      <c r="M106" s="17" t="s">
        <v>345</v>
      </c>
      <c r="N106" s="17"/>
      <c r="O106" s="17"/>
      <c r="P106" s="17"/>
      <c r="Q106" s="16" t="s">
        <v>24</v>
      </c>
      <c r="R106" s="16" t="s">
        <v>25</v>
      </c>
      <c r="T106" s="3"/>
      <c r="W106" s="3"/>
    </row>
    <row r="107" spans="1:23" s="12" customFormat="1" ht="16.5" thickBot="1" x14ac:dyDescent="0.3">
      <c r="A107" s="24" t="s">
        <v>333</v>
      </c>
      <c r="B107" s="22" t="s">
        <v>511</v>
      </c>
      <c r="C107" s="16" t="s">
        <v>334</v>
      </c>
      <c r="D107" s="16">
        <v>20</v>
      </c>
      <c r="E107" s="16"/>
      <c r="F107" s="16">
        <v>13</v>
      </c>
      <c r="G107" s="16" t="s">
        <v>26</v>
      </c>
      <c r="H107" s="16" t="s">
        <v>19</v>
      </c>
      <c r="I107" s="16" t="s">
        <v>335</v>
      </c>
      <c r="J107" s="16">
        <v>13.9</v>
      </c>
      <c r="K107" s="16">
        <v>30.85</v>
      </c>
      <c r="L107" s="17" t="s">
        <v>336</v>
      </c>
      <c r="M107" s="17" t="s">
        <v>337</v>
      </c>
      <c r="N107" s="17" t="s">
        <v>338</v>
      </c>
      <c r="O107" s="17"/>
      <c r="P107" s="17"/>
      <c r="Q107" s="16" t="s">
        <v>24</v>
      </c>
      <c r="R107" s="16" t="s">
        <v>25</v>
      </c>
      <c r="T107" s="3"/>
      <c r="W107" s="3"/>
    </row>
    <row r="108" spans="1:23" s="12" customFormat="1" ht="16.5" thickBot="1" x14ac:dyDescent="0.3">
      <c r="A108" s="24" t="s">
        <v>346</v>
      </c>
      <c r="B108" s="26" t="s">
        <v>511</v>
      </c>
      <c r="C108" s="27" t="s">
        <v>347</v>
      </c>
      <c r="D108" s="27">
        <v>1.21</v>
      </c>
      <c r="E108" s="27"/>
      <c r="F108" s="27">
        <v>0</v>
      </c>
      <c r="G108" s="27" t="s">
        <v>26</v>
      </c>
      <c r="H108" s="27" t="s">
        <v>19</v>
      </c>
      <c r="I108" s="27">
        <v>0.54</v>
      </c>
      <c r="J108" s="27">
        <v>10.4</v>
      </c>
      <c r="K108" s="27">
        <v>20.5</v>
      </c>
      <c r="L108" s="28" t="s">
        <v>348</v>
      </c>
      <c r="M108" s="28" t="s">
        <v>349</v>
      </c>
      <c r="N108" s="28" t="s">
        <v>350</v>
      </c>
      <c r="O108" s="28"/>
      <c r="P108" s="28" t="s">
        <v>351</v>
      </c>
      <c r="Q108" s="27" t="s">
        <v>24</v>
      </c>
      <c r="R108" s="27" t="s">
        <v>25</v>
      </c>
      <c r="T108" s="3"/>
      <c r="W108" s="3"/>
    </row>
    <row r="109" spans="1:23" x14ac:dyDescent="0.25">
      <c r="T109" s="3"/>
    </row>
    <row r="110" spans="1:23" x14ac:dyDescent="0.25">
      <c r="A110" s="13"/>
      <c r="G110" s="13"/>
      <c r="H110" s="2"/>
      <c r="T110" s="3"/>
    </row>
    <row r="111" spans="1:23" x14ac:dyDescent="0.25">
      <c r="G111" s="13"/>
      <c r="H111" s="2"/>
      <c r="T111" s="3"/>
      <c r="W111" s="3"/>
    </row>
    <row r="112" spans="1:23" x14ac:dyDescent="0.25">
      <c r="H112" s="5"/>
      <c r="T112" s="3"/>
      <c r="W112" s="3"/>
    </row>
    <row r="113" spans="8:23" x14ac:dyDescent="0.25">
      <c r="H113" s="2"/>
    </row>
    <row r="114" spans="8:23" x14ac:dyDescent="0.25">
      <c r="H114" s="2"/>
    </row>
    <row r="115" spans="8:23" x14ac:dyDescent="0.25">
      <c r="H115" s="2"/>
    </row>
    <row r="120" spans="8:23" x14ac:dyDescent="0.25">
      <c r="T120" s="3"/>
      <c r="W120" s="3"/>
    </row>
    <row r="121" spans="8:23" x14ac:dyDescent="0.25">
      <c r="T121" s="3"/>
    </row>
    <row r="124" spans="8:23" x14ac:dyDescent="0.25">
      <c r="T124" s="3"/>
    </row>
    <row r="125" spans="8:23" x14ac:dyDescent="0.25">
      <c r="T125" s="3"/>
    </row>
    <row r="126" spans="8:23" x14ac:dyDescent="0.25">
      <c r="T126" s="3"/>
    </row>
    <row r="127" spans="8:23" x14ac:dyDescent="0.25">
      <c r="T127" s="3"/>
    </row>
    <row r="128" spans="8:23" x14ac:dyDescent="0.25">
      <c r="T128" s="3"/>
    </row>
    <row r="129" spans="20:20" x14ac:dyDescent="0.25">
      <c r="T129" s="3"/>
    </row>
    <row r="130" spans="20:20" x14ac:dyDescent="0.25">
      <c r="T130" s="3"/>
    </row>
    <row r="131" spans="20:20" x14ac:dyDescent="0.25">
      <c r="T131" s="3"/>
    </row>
    <row r="132" spans="20:20" x14ac:dyDescent="0.25">
      <c r="T132" s="3"/>
    </row>
    <row r="133" spans="20:20" x14ac:dyDescent="0.25">
      <c r="T133" s="3"/>
    </row>
    <row r="134" spans="20:20" x14ac:dyDescent="0.25">
      <c r="T134" s="3"/>
    </row>
    <row r="135" spans="20:20" x14ac:dyDescent="0.25">
      <c r="T135" s="3"/>
    </row>
    <row r="136" spans="20:20" x14ac:dyDescent="0.25">
      <c r="T136" s="3"/>
    </row>
    <row r="137" spans="20:20" x14ac:dyDescent="0.25">
      <c r="T137" s="3"/>
    </row>
    <row r="138" spans="20:20" x14ac:dyDescent="0.25">
      <c r="T138" s="3"/>
    </row>
    <row r="139" spans="20:20" x14ac:dyDescent="0.25">
      <c r="T139" s="3"/>
    </row>
    <row r="140" spans="20:20" x14ac:dyDescent="0.25">
      <c r="T140" s="3"/>
    </row>
    <row r="141" spans="20:20" x14ac:dyDescent="0.25">
      <c r="T141" s="3"/>
    </row>
    <row r="142" spans="20:20" x14ac:dyDescent="0.25">
      <c r="T142" s="3"/>
    </row>
    <row r="143" spans="20:20" x14ac:dyDescent="0.25">
      <c r="T143" s="3"/>
    </row>
    <row r="144" spans="20:20" x14ac:dyDescent="0.25">
      <c r="T144" s="3"/>
    </row>
    <row r="145" spans="20:20" x14ac:dyDescent="0.25">
      <c r="T145" s="3"/>
    </row>
    <row r="146" spans="20:20" x14ac:dyDescent="0.25">
      <c r="T146" s="3"/>
    </row>
    <row r="147" spans="20:20" x14ac:dyDescent="0.25">
      <c r="T147" s="3"/>
    </row>
    <row r="148" spans="20:20" x14ac:dyDescent="0.25">
      <c r="T148" s="3"/>
    </row>
    <row r="149" spans="20:20" x14ac:dyDescent="0.25">
      <c r="T149" s="3"/>
    </row>
    <row r="150" spans="20:20" x14ac:dyDescent="0.25">
      <c r="T150" s="3"/>
    </row>
    <row r="151" spans="20:20" x14ac:dyDescent="0.25">
      <c r="T151" s="3"/>
    </row>
    <row r="152" spans="20:20" x14ac:dyDescent="0.25">
      <c r="T152" s="3"/>
    </row>
    <row r="153" spans="20:20" x14ac:dyDescent="0.25">
      <c r="T153" s="3"/>
    </row>
    <row r="154" spans="20:20" x14ac:dyDescent="0.25">
      <c r="T154" s="3"/>
    </row>
    <row r="155" spans="20:20" x14ac:dyDescent="0.25">
      <c r="T155" s="3"/>
    </row>
    <row r="156" spans="20:20" x14ac:dyDescent="0.25">
      <c r="T156" s="3"/>
    </row>
    <row r="157" spans="20:20" x14ac:dyDescent="0.25">
      <c r="T157" s="3"/>
    </row>
    <row r="158" spans="20:20" x14ac:dyDescent="0.25">
      <c r="T158" s="3"/>
    </row>
    <row r="159" spans="20:20" x14ac:dyDescent="0.25">
      <c r="T159" s="3"/>
    </row>
    <row r="160" spans="20:20" x14ac:dyDescent="0.25">
      <c r="T160" s="3"/>
    </row>
    <row r="161" spans="20:20" x14ac:dyDescent="0.25">
      <c r="T161" s="3"/>
    </row>
    <row r="162" spans="20:20" x14ac:dyDescent="0.25">
      <c r="T162" s="3"/>
    </row>
    <row r="163" spans="20:20" x14ac:dyDescent="0.25">
      <c r="T163" s="3"/>
    </row>
    <row r="164" spans="20:20" x14ac:dyDescent="0.25">
      <c r="T164" s="3"/>
    </row>
    <row r="165" spans="20:20" x14ac:dyDescent="0.25">
      <c r="T165" s="3"/>
    </row>
    <row r="166" spans="20:20" x14ac:dyDescent="0.25">
      <c r="T166" s="3"/>
    </row>
    <row r="167" spans="20:20" x14ac:dyDescent="0.25">
      <c r="T167" s="3"/>
    </row>
    <row r="168" spans="20:20" x14ac:dyDescent="0.25">
      <c r="T168" s="3"/>
    </row>
    <row r="169" spans="20:20" x14ac:dyDescent="0.25">
      <c r="T169" s="3"/>
    </row>
    <row r="170" spans="20:20" x14ac:dyDescent="0.25">
      <c r="T170" s="3"/>
    </row>
    <row r="171" spans="20:20" x14ac:dyDescent="0.25">
      <c r="T171" s="3"/>
    </row>
    <row r="172" spans="20:20" x14ac:dyDescent="0.25">
      <c r="T172" s="3"/>
    </row>
    <row r="173" spans="20:20" x14ac:dyDescent="0.25">
      <c r="T173" s="3"/>
    </row>
    <row r="174" spans="20:20" x14ac:dyDescent="0.25">
      <c r="T174" s="3"/>
    </row>
    <row r="175" spans="20:20" x14ac:dyDescent="0.25">
      <c r="T175" s="3"/>
    </row>
    <row r="176" spans="20:20" x14ac:dyDescent="0.25">
      <c r="T176" s="3"/>
    </row>
    <row r="177" spans="20:20" x14ac:dyDescent="0.25">
      <c r="T177" s="3"/>
    </row>
    <row r="178" spans="20:20" x14ac:dyDescent="0.25">
      <c r="T178" s="3"/>
    </row>
    <row r="179" spans="20:20" x14ac:dyDescent="0.25">
      <c r="T179" s="3"/>
    </row>
    <row r="180" spans="20:20" x14ac:dyDescent="0.25">
      <c r="T180" s="3"/>
    </row>
    <row r="181" spans="20:20" x14ac:dyDescent="0.25">
      <c r="T181" s="3"/>
    </row>
    <row r="182" spans="20:20" x14ac:dyDescent="0.25">
      <c r="T182" s="3"/>
    </row>
    <row r="183" spans="20:20" x14ac:dyDescent="0.25">
      <c r="T183" s="3"/>
    </row>
    <row r="184" spans="20:20" x14ac:dyDescent="0.25">
      <c r="T184" s="3"/>
    </row>
    <row r="185" spans="20:20" x14ac:dyDescent="0.25">
      <c r="T185" s="3"/>
    </row>
    <row r="186" spans="20:20" x14ac:dyDescent="0.25">
      <c r="T186" s="3"/>
    </row>
    <row r="187" spans="20:20" x14ac:dyDescent="0.25">
      <c r="T187" s="3"/>
    </row>
    <row r="188" spans="20:20" x14ac:dyDescent="0.25">
      <c r="T188" s="3"/>
    </row>
    <row r="189" spans="20:20" x14ac:dyDescent="0.25">
      <c r="T189" s="3"/>
    </row>
    <row r="190" spans="20:20" x14ac:dyDescent="0.25">
      <c r="T190" s="3"/>
    </row>
    <row r="191" spans="20:20" x14ac:dyDescent="0.25">
      <c r="T191" s="3"/>
    </row>
    <row r="192" spans="20:20" x14ac:dyDescent="0.25">
      <c r="T192" s="3"/>
    </row>
    <row r="193" spans="20:20" x14ac:dyDescent="0.25">
      <c r="T193" s="3"/>
    </row>
    <row r="194" spans="20:20" x14ac:dyDescent="0.25">
      <c r="T194" s="3"/>
    </row>
    <row r="195" spans="20:20" x14ac:dyDescent="0.25">
      <c r="T195" s="3"/>
    </row>
    <row r="196" spans="20:20" x14ac:dyDescent="0.25">
      <c r="T196" s="3"/>
    </row>
    <row r="197" spans="20:20" x14ac:dyDescent="0.25">
      <c r="T197" s="3"/>
    </row>
    <row r="198" spans="20:20" x14ac:dyDescent="0.25">
      <c r="T198" s="3"/>
    </row>
    <row r="199" spans="20:20" x14ac:dyDescent="0.25">
      <c r="T199" s="3"/>
    </row>
    <row r="200" spans="20:20" x14ac:dyDescent="0.25">
      <c r="T200" s="3"/>
    </row>
    <row r="201" spans="20:20" x14ac:dyDescent="0.25">
      <c r="T201" s="3"/>
    </row>
    <row r="202" spans="20:20" x14ac:dyDescent="0.25">
      <c r="T202" s="3"/>
    </row>
    <row r="203" spans="20:20" x14ac:dyDescent="0.25">
      <c r="T203" s="3"/>
    </row>
    <row r="204" spans="20:20" x14ac:dyDescent="0.25">
      <c r="T204" s="3"/>
    </row>
    <row r="205" spans="20:20" x14ac:dyDescent="0.25">
      <c r="T205" s="3"/>
    </row>
    <row r="206" spans="20:20" x14ac:dyDescent="0.25">
      <c r="T206" s="3"/>
    </row>
    <row r="207" spans="20:20" x14ac:dyDescent="0.25">
      <c r="T207" s="3"/>
    </row>
    <row r="208" spans="20:20" x14ac:dyDescent="0.25">
      <c r="T208" s="3"/>
    </row>
    <row r="209" spans="20:20" x14ac:dyDescent="0.25">
      <c r="T209" s="3"/>
    </row>
    <row r="210" spans="20:20" x14ac:dyDescent="0.25">
      <c r="T210" s="3"/>
    </row>
    <row r="211" spans="20:20" x14ac:dyDescent="0.25">
      <c r="T211" s="3"/>
    </row>
    <row r="212" spans="20:20" x14ac:dyDescent="0.25">
      <c r="T212" s="3"/>
    </row>
    <row r="213" spans="20:20" x14ac:dyDescent="0.25">
      <c r="T213" s="3"/>
    </row>
    <row r="214" spans="20:20" x14ac:dyDescent="0.25">
      <c r="T214" s="3"/>
    </row>
    <row r="215" spans="20:20" x14ac:dyDescent="0.25">
      <c r="T215" s="3"/>
    </row>
    <row r="216" spans="20:20" x14ac:dyDescent="0.25">
      <c r="T216" s="3"/>
    </row>
    <row r="217" spans="20:20" x14ac:dyDescent="0.25">
      <c r="T217" s="3"/>
    </row>
    <row r="218" spans="20:20" x14ac:dyDescent="0.25">
      <c r="T218" s="3"/>
    </row>
    <row r="219" spans="20:20" x14ac:dyDescent="0.25">
      <c r="T219" s="3"/>
    </row>
    <row r="220" spans="20:20" x14ac:dyDescent="0.25">
      <c r="T220" s="3"/>
    </row>
    <row r="221" spans="20:20" x14ac:dyDescent="0.25">
      <c r="T221" s="3"/>
    </row>
    <row r="222" spans="20:20" x14ac:dyDescent="0.25">
      <c r="T222" s="3"/>
    </row>
    <row r="223" spans="20:20" x14ac:dyDescent="0.25">
      <c r="T223" s="3"/>
    </row>
    <row r="224" spans="20:20" x14ac:dyDescent="0.25">
      <c r="T224" s="3"/>
    </row>
    <row r="225" spans="20:20" x14ac:dyDescent="0.25">
      <c r="T225" s="3"/>
    </row>
    <row r="226" spans="20:20" x14ac:dyDescent="0.25">
      <c r="T226" s="3"/>
    </row>
    <row r="227" spans="20:20" x14ac:dyDescent="0.25">
      <c r="T227" s="3"/>
    </row>
    <row r="228" spans="20:20" x14ac:dyDescent="0.25">
      <c r="T228" s="3"/>
    </row>
    <row r="229" spans="20:20" x14ac:dyDescent="0.25">
      <c r="T229" s="3"/>
    </row>
    <row r="230" spans="20:20" x14ac:dyDescent="0.25">
      <c r="T230" s="3"/>
    </row>
    <row r="231" spans="20:20" x14ac:dyDescent="0.25">
      <c r="T231" s="3"/>
    </row>
    <row r="232" spans="20:20" x14ac:dyDescent="0.25">
      <c r="T232" s="3"/>
    </row>
    <row r="233" spans="20:20" x14ac:dyDescent="0.25">
      <c r="T233" s="3"/>
    </row>
    <row r="234" spans="20:20" x14ac:dyDescent="0.25">
      <c r="T234" s="3"/>
    </row>
    <row r="235" spans="20:20" x14ac:dyDescent="0.25">
      <c r="T235" s="3"/>
    </row>
    <row r="236" spans="20:20" x14ac:dyDescent="0.25">
      <c r="T236" s="3"/>
    </row>
    <row r="237" spans="20:20" x14ac:dyDescent="0.25">
      <c r="T237" s="3"/>
    </row>
    <row r="238" spans="20:20" x14ac:dyDescent="0.25">
      <c r="T238" s="3"/>
    </row>
    <row r="239" spans="20:20" x14ac:dyDescent="0.25">
      <c r="T239" s="3"/>
    </row>
    <row r="240" spans="20:20" x14ac:dyDescent="0.25">
      <c r="T240" s="3"/>
    </row>
    <row r="241" spans="20:20" x14ac:dyDescent="0.25">
      <c r="T241" s="3"/>
    </row>
    <row r="242" spans="20:20" x14ac:dyDescent="0.25">
      <c r="T242" s="3"/>
    </row>
    <row r="243" spans="20:20" x14ac:dyDescent="0.25">
      <c r="T243" s="3"/>
    </row>
    <row r="244" spans="20:20" x14ac:dyDescent="0.25">
      <c r="T244" s="3"/>
    </row>
    <row r="245" spans="20:20" x14ac:dyDescent="0.25">
      <c r="T245" s="3"/>
    </row>
    <row r="246" spans="20:20" x14ac:dyDescent="0.25">
      <c r="T246" s="3"/>
    </row>
    <row r="247" spans="20:20" x14ac:dyDescent="0.25">
      <c r="T247" s="3"/>
    </row>
    <row r="248" spans="20:20" x14ac:dyDescent="0.25">
      <c r="T248" s="3"/>
    </row>
    <row r="249" spans="20:20" x14ac:dyDescent="0.25">
      <c r="T249" s="3"/>
    </row>
    <row r="250" spans="20:20" x14ac:dyDescent="0.25">
      <c r="T250" s="3"/>
    </row>
    <row r="251" spans="20:20" x14ac:dyDescent="0.25">
      <c r="T251" s="3"/>
    </row>
    <row r="252" spans="20:20" x14ac:dyDescent="0.25">
      <c r="T252" s="3"/>
    </row>
    <row r="253" spans="20:20" x14ac:dyDescent="0.25">
      <c r="T253" s="3"/>
    </row>
    <row r="254" spans="20:20" x14ac:dyDescent="0.25">
      <c r="T254" s="3"/>
    </row>
    <row r="255" spans="20:20" x14ac:dyDescent="0.25">
      <c r="T255" s="3"/>
    </row>
    <row r="256" spans="20:20" x14ac:dyDescent="0.25">
      <c r="T256" s="3"/>
    </row>
    <row r="257" spans="20:20" x14ac:dyDescent="0.25">
      <c r="T257" s="3"/>
    </row>
    <row r="258" spans="20:20" x14ac:dyDescent="0.25">
      <c r="T258" s="3"/>
    </row>
    <row r="259" spans="20:20" x14ac:dyDescent="0.25">
      <c r="T259" s="3"/>
    </row>
    <row r="260" spans="20:20" x14ac:dyDescent="0.25">
      <c r="T260" s="3"/>
    </row>
    <row r="261" spans="20:20" x14ac:dyDescent="0.25">
      <c r="T261" s="3"/>
    </row>
    <row r="262" spans="20:20" x14ac:dyDescent="0.25">
      <c r="T262" s="3"/>
    </row>
    <row r="263" spans="20:20" x14ac:dyDescent="0.25">
      <c r="T263" s="3"/>
    </row>
    <row r="264" spans="20:20" x14ac:dyDescent="0.25">
      <c r="T264" s="3"/>
    </row>
    <row r="265" spans="20:20" x14ac:dyDescent="0.25">
      <c r="T265" s="3"/>
    </row>
    <row r="266" spans="20:20" x14ac:dyDescent="0.25">
      <c r="T266" s="3"/>
    </row>
    <row r="267" spans="20:20" x14ac:dyDescent="0.25">
      <c r="T267" s="3"/>
    </row>
    <row r="268" spans="20:20" x14ac:dyDescent="0.25">
      <c r="T268" s="3"/>
    </row>
    <row r="269" spans="20:20" x14ac:dyDescent="0.25">
      <c r="T269" s="3"/>
    </row>
    <row r="270" spans="20:20" x14ac:dyDescent="0.25">
      <c r="T270" s="3"/>
    </row>
    <row r="271" spans="20:20" x14ac:dyDescent="0.25">
      <c r="T271" s="3"/>
    </row>
    <row r="272" spans="20:20" x14ac:dyDescent="0.25">
      <c r="T272" s="3"/>
    </row>
    <row r="273" spans="20:20" x14ac:dyDescent="0.25">
      <c r="T273" s="3"/>
    </row>
    <row r="274" spans="20:20" x14ac:dyDescent="0.25">
      <c r="T274" s="3"/>
    </row>
    <row r="275" spans="20:20" x14ac:dyDescent="0.25">
      <c r="T275" s="3"/>
    </row>
    <row r="276" spans="20:20" x14ac:dyDescent="0.25">
      <c r="T276" s="3"/>
    </row>
    <row r="277" spans="20:20" x14ac:dyDescent="0.25">
      <c r="T277" s="3"/>
    </row>
    <row r="278" spans="20:20" x14ac:dyDescent="0.25">
      <c r="T278" s="3"/>
    </row>
    <row r="279" spans="20:20" x14ac:dyDescent="0.25">
      <c r="T279" s="3"/>
    </row>
    <row r="280" spans="20:20" x14ac:dyDescent="0.25">
      <c r="T280" s="3"/>
    </row>
    <row r="281" spans="20:20" x14ac:dyDescent="0.25">
      <c r="T281" s="3"/>
    </row>
    <row r="282" spans="20:20" x14ac:dyDescent="0.25">
      <c r="T282" s="3"/>
    </row>
    <row r="283" spans="20:20" x14ac:dyDescent="0.25">
      <c r="T283" s="3"/>
    </row>
    <row r="284" spans="20:20" x14ac:dyDescent="0.25">
      <c r="T284" s="3"/>
    </row>
    <row r="285" spans="20:20" x14ac:dyDescent="0.25">
      <c r="T285" s="3"/>
    </row>
    <row r="286" spans="20:20" x14ac:dyDescent="0.25">
      <c r="T286" s="3"/>
    </row>
    <row r="287" spans="20:20" x14ac:dyDescent="0.25">
      <c r="T287" s="3"/>
    </row>
    <row r="288" spans="20:20" x14ac:dyDescent="0.25">
      <c r="T288" s="3"/>
    </row>
    <row r="289" spans="20:20" x14ac:dyDescent="0.25">
      <c r="T289" s="3"/>
    </row>
    <row r="290" spans="20:20" x14ac:dyDescent="0.25">
      <c r="T290" s="3"/>
    </row>
    <row r="291" spans="20:20" x14ac:dyDescent="0.25">
      <c r="T291" s="3"/>
    </row>
    <row r="292" spans="20:20" x14ac:dyDescent="0.25">
      <c r="T292" s="3"/>
    </row>
    <row r="293" spans="20:20" x14ac:dyDescent="0.25">
      <c r="T293" s="3"/>
    </row>
    <row r="294" spans="20:20" x14ac:dyDescent="0.25">
      <c r="T294" s="3"/>
    </row>
    <row r="295" spans="20:20" x14ac:dyDescent="0.25">
      <c r="T295" s="3"/>
    </row>
    <row r="296" spans="20:20" x14ac:dyDescent="0.25">
      <c r="T296" s="3"/>
    </row>
    <row r="297" spans="20:20" x14ac:dyDescent="0.25">
      <c r="T297" s="3"/>
    </row>
    <row r="298" spans="20:20" x14ac:dyDescent="0.25">
      <c r="T298" s="3"/>
    </row>
    <row r="299" spans="20:20" x14ac:dyDescent="0.25">
      <c r="T299" s="3"/>
    </row>
    <row r="300" spans="20:20" x14ac:dyDescent="0.25">
      <c r="T300" s="3"/>
    </row>
    <row r="301" spans="20:20" x14ac:dyDescent="0.25">
      <c r="T301" s="3"/>
    </row>
    <row r="302" spans="20:20" x14ac:dyDescent="0.25">
      <c r="T302" s="3"/>
    </row>
    <row r="303" spans="20:20" x14ac:dyDescent="0.25">
      <c r="T303" s="3"/>
    </row>
    <row r="304" spans="20:20" x14ac:dyDescent="0.25">
      <c r="T304" s="3"/>
    </row>
    <row r="305" spans="20:20" x14ac:dyDescent="0.25">
      <c r="T305" s="3"/>
    </row>
    <row r="306" spans="20:20" x14ac:dyDescent="0.25">
      <c r="T306" s="3"/>
    </row>
    <row r="307" spans="20:20" x14ac:dyDescent="0.25">
      <c r="T307" s="3"/>
    </row>
    <row r="308" spans="20:20" x14ac:dyDescent="0.25">
      <c r="T308" s="3"/>
    </row>
    <row r="309" spans="20:20" x14ac:dyDescent="0.25">
      <c r="T309" s="3"/>
    </row>
    <row r="310" spans="20:20" x14ac:dyDescent="0.25">
      <c r="T310" s="3"/>
    </row>
    <row r="311" spans="20:20" x14ac:dyDescent="0.25">
      <c r="T311" s="3"/>
    </row>
    <row r="312" spans="20:20" x14ac:dyDescent="0.25">
      <c r="T312" s="3"/>
    </row>
    <row r="313" spans="20:20" x14ac:dyDescent="0.25">
      <c r="T313" s="3"/>
    </row>
    <row r="314" spans="20:20" x14ac:dyDescent="0.25">
      <c r="T314" s="3"/>
    </row>
    <row r="315" spans="20:20" x14ac:dyDescent="0.25">
      <c r="T315" s="3"/>
    </row>
    <row r="316" spans="20:20" x14ac:dyDescent="0.25">
      <c r="T316" s="3"/>
    </row>
    <row r="317" spans="20:20" x14ac:dyDescent="0.25">
      <c r="T317" s="3"/>
    </row>
    <row r="318" spans="20:20" x14ac:dyDescent="0.25">
      <c r="T318" s="3"/>
    </row>
    <row r="319" spans="20:20" x14ac:dyDescent="0.25">
      <c r="T319" s="3"/>
    </row>
    <row r="320" spans="20:20" x14ac:dyDescent="0.25">
      <c r="T320" s="3"/>
    </row>
    <row r="321" spans="20:20" x14ac:dyDescent="0.25">
      <c r="T321" s="3"/>
    </row>
    <row r="322" spans="20:20" x14ac:dyDescent="0.25">
      <c r="T322" s="3"/>
    </row>
    <row r="323" spans="20:20" x14ac:dyDescent="0.25">
      <c r="T323" s="3"/>
    </row>
    <row r="324" spans="20:20" x14ac:dyDescent="0.25">
      <c r="T324" s="3"/>
    </row>
    <row r="325" spans="20:20" x14ac:dyDescent="0.25">
      <c r="T325" s="3"/>
    </row>
    <row r="326" spans="20:20" x14ac:dyDescent="0.25">
      <c r="T326" s="3"/>
    </row>
    <row r="327" spans="20:20" x14ac:dyDescent="0.25">
      <c r="T327" s="3"/>
    </row>
    <row r="328" spans="20:20" x14ac:dyDescent="0.25">
      <c r="T328" s="3"/>
    </row>
    <row r="329" spans="20:20" x14ac:dyDescent="0.25">
      <c r="T329" s="3"/>
    </row>
    <row r="330" spans="20:20" x14ac:dyDescent="0.25">
      <c r="T330" s="3"/>
    </row>
    <row r="331" spans="20:20" x14ac:dyDescent="0.25">
      <c r="T331" s="3"/>
    </row>
    <row r="332" spans="20:20" x14ac:dyDescent="0.25">
      <c r="T332" s="3"/>
    </row>
    <row r="333" spans="20:20" x14ac:dyDescent="0.25">
      <c r="T333" s="3"/>
    </row>
    <row r="334" spans="20:20" x14ac:dyDescent="0.25">
      <c r="T334" s="3"/>
    </row>
    <row r="335" spans="20:20" x14ac:dyDescent="0.25">
      <c r="T335" s="3"/>
    </row>
    <row r="336" spans="20:20" x14ac:dyDescent="0.25">
      <c r="T336" s="3"/>
    </row>
    <row r="337" spans="20:20" x14ac:dyDescent="0.25">
      <c r="T337" s="3"/>
    </row>
    <row r="338" spans="20:20" x14ac:dyDescent="0.25">
      <c r="T338" s="3"/>
    </row>
    <row r="339" spans="20:20" x14ac:dyDescent="0.25">
      <c r="T339" s="3"/>
    </row>
    <row r="340" spans="20:20" x14ac:dyDescent="0.25">
      <c r="T340" s="3"/>
    </row>
    <row r="341" spans="20:20" x14ac:dyDescent="0.25">
      <c r="T341" s="3"/>
    </row>
    <row r="342" spans="20:20" x14ac:dyDescent="0.25">
      <c r="T342" s="3"/>
    </row>
    <row r="343" spans="20:20" x14ac:dyDescent="0.25">
      <c r="T343" s="3"/>
    </row>
    <row r="344" spans="20:20" x14ac:dyDescent="0.25">
      <c r="T344" s="3"/>
    </row>
    <row r="345" spans="20:20" x14ac:dyDescent="0.25">
      <c r="T345" s="3"/>
    </row>
    <row r="346" spans="20:20" x14ac:dyDescent="0.25">
      <c r="T346" s="3"/>
    </row>
    <row r="347" spans="20:20" x14ac:dyDescent="0.25">
      <c r="T347" s="3"/>
    </row>
    <row r="348" spans="20:20" x14ac:dyDescent="0.25">
      <c r="T348" s="3"/>
    </row>
    <row r="349" spans="20:20" x14ac:dyDescent="0.25">
      <c r="T349" s="3"/>
    </row>
    <row r="350" spans="20:20" x14ac:dyDescent="0.25">
      <c r="T350" s="3"/>
    </row>
    <row r="351" spans="20:20" x14ac:dyDescent="0.25">
      <c r="T351" s="3"/>
    </row>
    <row r="352" spans="20:20" x14ac:dyDescent="0.25">
      <c r="T352" s="3"/>
    </row>
    <row r="353" spans="20:20" x14ac:dyDescent="0.25">
      <c r="T353" s="3"/>
    </row>
    <row r="354" spans="20:20" x14ac:dyDescent="0.25">
      <c r="T354" s="3"/>
    </row>
    <row r="355" spans="20:20" x14ac:dyDescent="0.25">
      <c r="T355" s="3"/>
    </row>
    <row r="356" spans="20:20" x14ac:dyDescent="0.25">
      <c r="T356" s="3"/>
    </row>
    <row r="357" spans="20:20" x14ac:dyDescent="0.25">
      <c r="T357" s="3"/>
    </row>
    <row r="358" spans="20:20" x14ac:dyDescent="0.25">
      <c r="T358" s="3"/>
    </row>
    <row r="359" spans="20:20" x14ac:dyDescent="0.25">
      <c r="T359" s="3"/>
    </row>
    <row r="360" spans="20:20" x14ac:dyDescent="0.25">
      <c r="T360" s="3"/>
    </row>
    <row r="361" spans="20:20" x14ac:dyDescent="0.25">
      <c r="T361" s="3"/>
    </row>
    <row r="362" spans="20:20" x14ac:dyDescent="0.25">
      <c r="T362" s="3"/>
    </row>
    <row r="363" spans="20:20" x14ac:dyDescent="0.25">
      <c r="T363" s="3"/>
    </row>
    <row r="364" spans="20:20" x14ac:dyDescent="0.25">
      <c r="T364" s="3"/>
    </row>
    <row r="365" spans="20:20" x14ac:dyDescent="0.25">
      <c r="T365" s="3"/>
    </row>
    <row r="366" spans="20:20" x14ac:dyDescent="0.25">
      <c r="T366" s="3"/>
    </row>
    <row r="367" spans="20:20" x14ac:dyDescent="0.25">
      <c r="T367" s="3"/>
    </row>
    <row r="368" spans="20:20" x14ac:dyDescent="0.25">
      <c r="T368" s="3"/>
    </row>
    <row r="369" spans="20:20" x14ac:dyDescent="0.25">
      <c r="T369" s="3"/>
    </row>
    <row r="370" spans="20:20" x14ac:dyDescent="0.25">
      <c r="T370" s="3"/>
    </row>
    <row r="371" spans="20:20" x14ac:dyDescent="0.25">
      <c r="T371" s="3"/>
    </row>
    <row r="372" spans="20:20" x14ac:dyDescent="0.25">
      <c r="T372" s="3"/>
    </row>
    <row r="373" spans="20:20" x14ac:dyDescent="0.25">
      <c r="T373" s="3"/>
    </row>
    <row r="374" spans="20:20" x14ac:dyDescent="0.25">
      <c r="T374" s="3"/>
    </row>
    <row r="375" spans="20:20" x14ac:dyDescent="0.25">
      <c r="T375" s="3"/>
    </row>
    <row r="376" spans="20:20" x14ac:dyDescent="0.25">
      <c r="T376" s="3"/>
    </row>
    <row r="377" spans="20:20" x14ac:dyDescent="0.25">
      <c r="T377" s="3"/>
    </row>
    <row r="378" spans="20:20" x14ac:dyDescent="0.25">
      <c r="T378" s="3"/>
    </row>
    <row r="379" spans="20:20" x14ac:dyDescent="0.25">
      <c r="T379" s="3"/>
    </row>
    <row r="380" spans="20:20" x14ac:dyDescent="0.25">
      <c r="T380" s="3"/>
    </row>
    <row r="381" spans="20:20" x14ac:dyDescent="0.25">
      <c r="T381" s="3"/>
    </row>
    <row r="382" spans="20:20" x14ac:dyDescent="0.25">
      <c r="T382" s="3"/>
    </row>
    <row r="383" spans="20:20" x14ac:dyDescent="0.25">
      <c r="T383" s="3"/>
    </row>
    <row r="384" spans="20:20" x14ac:dyDescent="0.25">
      <c r="T384" s="3"/>
    </row>
    <row r="385" spans="20:20" x14ac:dyDescent="0.25">
      <c r="T385" s="3"/>
    </row>
    <row r="386" spans="20:20" x14ac:dyDescent="0.25">
      <c r="T386" s="3"/>
    </row>
    <row r="387" spans="20:20" x14ac:dyDescent="0.25">
      <c r="T387" s="3"/>
    </row>
    <row r="388" spans="20:20" x14ac:dyDescent="0.25">
      <c r="T388" s="3"/>
    </row>
    <row r="389" spans="20:20" x14ac:dyDescent="0.25">
      <c r="T389" s="3"/>
    </row>
    <row r="390" spans="20:20" x14ac:dyDescent="0.25">
      <c r="T390" s="3"/>
    </row>
    <row r="391" spans="20:20" x14ac:dyDescent="0.25">
      <c r="T391" s="3"/>
    </row>
    <row r="392" spans="20:20" x14ac:dyDescent="0.25">
      <c r="T392" s="3"/>
    </row>
    <row r="393" spans="20:20" x14ac:dyDescent="0.25">
      <c r="T393" s="3"/>
    </row>
    <row r="394" spans="20:20" x14ac:dyDescent="0.25">
      <c r="T394" s="3"/>
    </row>
    <row r="395" spans="20:20" x14ac:dyDescent="0.25">
      <c r="T395" s="3"/>
    </row>
    <row r="396" spans="20:20" x14ac:dyDescent="0.25">
      <c r="T396" s="3"/>
    </row>
    <row r="397" spans="20:20" x14ac:dyDescent="0.25">
      <c r="T397" s="3"/>
    </row>
    <row r="398" spans="20:20" x14ac:dyDescent="0.25">
      <c r="T398" s="3"/>
    </row>
    <row r="399" spans="20:20" x14ac:dyDescent="0.25">
      <c r="T399" s="3"/>
    </row>
    <row r="400" spans="20:20" x14ac:dyDescent="0.25">
      <c r="T400" s="3"/>
    </row>
    <row r="401" spans="20:20" x14ac:dyDescent="0.25">
      <c r="T401" s="3"/>
    </row>
    <row r="402" spans="20:20" x14ac:dyDescent="0.25">
      <c r="T402" s="3"/>
    </row>
    <row r="403" spans="20:20" x14ac:dyDescent="0.25">
      <c r="T403" s="3"/>
    </row>
    <row r="404" spans="20:20" x14ac:dyDescent="0.25">
      <c r="T404" s="3"/>
    </row>
    <row r="405" spans="20:20" x14ac:dyDescent="0.25">
      <c r="T405" s="3"/>
    </row>
    <row r="406" spans="20:20" x14ac:dyDescent="0.25">
      <c r="T406" s="3"/>
    </row>
    <row r="407" spans="20:20" x14ac:dyDescent="0.25">
      <c r="T407" s="3"/>
    </row>
    <row r="408" spans="20:20" x14ac:dyDescent="0.25">
      <c r="T408" s="3"/>
    </row>
    <row r="409" spans="20:20" x14ac:dyDescent="0.25">
      <c r="T409" s="3"/>
    </row>
    <row r="410" spans="20:20" x14ac:dyDescent="0.25">
      <c r="T410" s="3"/>
    </row>
    <row r="411" spans="20:20" x14ac:dyDescent="0.25">
      <c r="T411" s="3"/>
    </row>
    <row r="412" spans="20:20" x14ac:dyDescent="0.25">
      <c r="T412" s="3"/>
    </row>
    <row r="413" spans="20:20" x14ac:dyDescent="0.25">
      <c r="T413" s="3"/>
    </row>
    <row r="414" spans="20:20" x14ac:dyDescent="0.25">
      <c r="T414" s="3"/>
    </row>
    <row r="415" spans="20:20" x14ac:dyDescent="0.25">
      <c r="T415" s="3"/>
    </row>
    <row r="416" spans="20:20" x14ac:dyDescent="0.25">
      <c r="T416" s="3"/>
    </row>
    <row r="417" spans="20:20" x14ac:dyDescent="0.25">
      <c r="T417" s="3"/>
    </row>
    <row r="418" spans="20:20" x14ac:dyDescent="0.25">
      <c r="T418" s="3"/>
    </row>
    <row r="419" spans="20:20" x14ac:dyDescent="0.25">
      <c r="T419" s="3"/>
    </row>
    <row r="420" spans="20:20" x14ac:dyDescent="0.25">
      <c r="T420" s="3"/>
    </row>
    <row r="421" spans="20:20" x14ac:dyDescent="0.25">
      <c r="T421" s="3"/>
    </row>
    <row r="422" spans="20:20" x14ac:dyDescent="0.25">
      <c r="T422" s="3"/>
    </row>
    <row r="423" spans="20:20" x14ac:dyDescent="0.25">
      <c r="T423" s="3"/>
    </row>
    <row r="424" spans="20:20" x14ac:dyDescent="0.25">
      <c r="T424" s="3"/>
    </row>
    <row r="425" spans="20:20" x14ac:dyDescent="0.25">
      <c r="T425" s="3"/>
    </row>
    <row r="426" spans="20:20" x14ac:dyDescent="0.25">
      <c r="T426" s="3"/>
    </row>
    <row r="427" spans="20:20" x14ac:dyDescent="0.25">
      <c r="T427" s="3"/>
    </row>
    <row r="428" spans="20:20" x14ac:dyDescent="0.25">
      <c r="T428" s="3"/>
    </row>
    <row r="429" spans="20:20" x14ac:dyDescent="0.25">
      <c r="T429" s="3"/>
    </row>
    <row r="430" spans="20:20" x14ac:dyDescent="0.25">
      <c r="T430" s="3"/>
    </row>
    <row r="431" spans="20:20" x14ac:dyDescent="0.25">
      <c r="T431" s="3"/>
    </row>
    <row r="432" spans="20:20" x14ac:dyDescent="0.25">
      <c r="T432" s="3"/>
    </row>
    <row r="433" spans="20:20" x14ac:dyDescent="0.25">
      <c r="T433" s="3"/>
    </row>
    <row r="434" spans="20:20" x14ac:dyDescent="0.25">
      <c r="T434" s="3"/>
    </row>
    <row r="435" spans="20:20" x14ac:dyDescent="0.25">
      <c r="T435" s="3"/>
    </row>
    <row r="436" spans="20:20" x14ac:dyDescent="0.25">
      <c r="T436" s="3"/>
    </row>
    <row r="437" spans="20:20" x14ac:dyDescent="0.25">
      <c r="T437" s="3"/>
    </row>
    <row r="438" spans="20:20" x14ac:dyDescent="0.25">
      <c r="T438" s="3"/>
    </row>
    <row r="439" spans="20:20" x14ac:dyDescent="0.25">
      <c r="T439" s="3"/>
    </row>
    <row r="440" spans="20:20" x14ac:dyDescent="0.25">
      <c r="T440" s="3"/>
    </row>
    <row r="441" spans="20:20" x14ac:dyDescent="0.25">
      <c r="T441" s="3"/>
    </row>
    <row r="442" spans="20:20" x14ac:dyDescent="0.25">
      <c r="T442" s="3"/>
    </row>
    <row r="443" spans="20:20" x14ac:dyDescent="0.25">
      <c r="T443" s="3"/>
    </row>
    <row r="444" spans="20:20" x14ac:dyDescent="0.25">
      <c r="T444" s="3"/>
    </row>
    <row r="445" spans="20:20" x14ac:dyDescent="0.25">
      <c r="T445" s="3"/>
    </row>
    <row r="446" spans="20:20" x14ac:dyDescent="0.25">
      <c r="T446" s="3"/>
    </row>
    <row r="447" spans="20:20" x14ac:dyDescent="0.25">
      <c r="T447" s="3"/>
    </row>
    <row r="448" spans="20:20" x14ac:dyDescent="0.25">
      <c r="T448" s="3"/>
    </row>
    <row r="449" spans="20:20" x14ac:dyDescent="0.25">
      <c r="T449" s="3"/>
    </row>
    <row r="450" spans="20:20" x14ac:dyDescent="0.25">
      <c r="T450" s="3"/>
    </row>
    <row r="451" spans="20:20" x14ac:dyDescent="0.25">
      <c r="T451" s="3"/>
    </row>
    <row r="452" spans="20:20" x14ac:dyDescent="0.25">
      <c r="T452" s="3"/>
    </row>
    <row r="453" spans="20:20" x14ac:dyDescent="0.25">
      <c r="T453" s="3"/>
    </row>
    <row r="454" spans="20:20" x14ac:dyDescent="0.25">
      <c r="T454" s="3"/>
    </row>
    <row r="455" spans="20:20" x14ac:dyDescent="0.25">
      <c r="T455" s="3"/>
    </row>
    <row r="456" spans="20:20" x14ac:dyDescent="0.25">
      <c r="T456" s="3"/>
    </row>
    <row r="457" spans="20:20" x14ac:dyDescent="0.25">
      <c r="T457" s="3"/>
    </row>
    <row r="458" spans="20:20" x14ac:dyDescent="0.25">
      <c r="T458" s="3"/>
    </row>
    <row r="459" spans="20:20" x14ac:dyDescent="0.25">
      <c r="T459" s="3"/>
    </row>
    <row r="460" spans="20:20" x14ac:dyDescent="0.25">
      <c r="T460" s="3"/>
    </row>
    <row r="461" spans="20:20" x14ac:dyDescent="0.25">
      <c r="T461" s="3"/>
    </row>
    <row r="462" spans="20:20" x14ac:dyDescent="0.25">
      <c r="T462" s="3"/>
    </row>
    <row r="463" spans="20:20" x14ac:dyDescent="0.25">
      <c r="T463" s="3"/>
    </row>
    <row r="464" spans="20:20" x14ac:dyDescent="0.25">
      <c r="T464" s="3"/>
    </row>
    <row r="465" spans="20:20" x14ac:dyDescent="0.25">
      <c r="T465" s="3"/>
    </row>
    <row r="466" spans="20:20" x14ac:dyDescent="0.25">
      <c r="T466" s="3"/>
    </row>
    <row r="467" spans="20:20" x14ac:dyDescent="0.25">
      <c r="T467" s="3"/>
    </row>
    <row r="468" spans="20:20" x14ac:dyDescent="0.25">
      <c r="T468" s="3"/>
    </row>
    <row r="469" spans="20:20" x14ac:dyDescent="0.25">
      <c r="T469" s="3"/>
    </row>
    <row r="470" spans="20:20" x14ac:dyDescent="0.25">
      <c r="T470" s="3"/>
    </row>
    <row r="471" spans="20:20" x14ac:dyDescent="0.25">
      <c r="T471" s="3"/>
    </row>
    <row r="472" spans="20:20" x14ac:dyDescent="0.25">
      <c r="T472" s="3"/>
    </row>
    <row r="473" spans="20:20" x14ac:dyDescent="0.25">
      <c r="T473" s="3"/>
    </row>
    <row r="474" spans="20:20" x14ac:dyDescent="0.25">
      <c r="T474" s="3"/>
    </row>
    <row r="475" spans="20:20" x14ac:dyDescent="0.25">
      <c r="T475" s="3"/>
    </row>
    <row r="476" spans="20:20" x14ac:dyDescent="0.25">
      <c r="T476" s="3"/>
    </row>
    <row r="477" spans="20:20" x14ac:dyDescent="0.25">
      <c r="T477" s="3"/>
    </row>
    <row r="478" spans="20:20" x14ac:dyDescent="0.25">
      <c r="T478" s="3"/>
    </row>
    <row r="479" spans="20:20" x14ac:dyDescent="0.25">
      <c r="T479" s="3"/>
    </row>
    <row r="480" spans="20:20" x14ac:dyDescent="0.25">
      <c r="T480" s="3"/>
    </row>
    <row r="481" spans="20:20" x14ac:dyDescent="0.25">
      <c r="T481" s="3"/>
    </row>
    <row r="482" spans="20:20" x14ac:dyDescent="0.25">
      <c r="T482" s="3"/>
    </row>
    <row r="483" spans="20:20" x14ac:dyDescent="0.25">
      <c r="T483" s="3"/>
    </row>
    <row r="484" spans="20:20" x14ac:dyDescent="0.25">
      <c r="T484" s="3"/>
    </row>
    <row r="485" spans="20:20" x14ac:dyDescent="0.25">
      <c r="T485" s="3"/>
    </row>
    <row r="486" spans="20:20" x14ac:dyDescent="0.25">
      <c r="T486" s="3"/>
    </row>
    <row r="487" spans="20:20" x14ac:dyDescent="0.25">
      <c r="T487" s="3"/>
    </row>
    <row r="488" spans="20:20" x14ac:dyDescent="0.25">
      <c r="T488" s="3"/>
    </row>
    <row r="489" spans="20:20" x14ac:dyDescent="0.25">
      <c r="T489" s="3"/>
    </row>
    <row r="490" spans="20:20" x14ac:dyDescent="0.25">
      <c r="T490" s="3"/>
    </row>
    <row r="491" spans="20:20" x14ac:dyDescent="0.25">
      <c r="T491" s="3"/>
    </row>
    <row r="492" spans="20:20" x14ac:dyDescent="0.25">
      <c r="T492" s="3"/>
    </row>
    <row r="493" spans="20:20" x14ac:dyDescent="0.25">
      <c r="T493" s="3"/>
    </row>
    <row r="494" spans="20:20" x14ac:dyDescent="0.25">
      <c r="T494" s="3"/>
    </row>
    <row r="495" spans="20:20" x14ac:dyDescent="0.25">
      <c r="T495" s="3"/>
    </row>
    <row r="496" spans="20:20" x14ac:dyDescent="0.25">
      <c r="T496" s="3"/>
    </row>
    <row r="497" spans="20:20" x14ac:dyDescent="0.25">
      <c r="T497" s="3"/>
    </row>
    <row r="498" spans="20:20" x14ac:dyDescent="0.25">
      <c r="T498" s="3"/>
    </row>
    <row r="499" spans="20:20" x14ac:dyDescent="0.25">
      <c r="T499" s="3"/>
    </row>
    <row r="500" spans="20:20" x14ac:dyDescent="0.25">
      <c r="T500" s="3"/>
    </row>
    <row r="501" spans="20:20" x14ac:dyDescent="0.25">
      <c r="T501" s="3"/>
    </row>
    <row r="502" spans="20:20" x14ac:dyDescent="0.25">
      <c r="T502" s="3"/>
    </row>
    <row r="503" spans="20:20" x14ac:dyDescent="0.25">
      <c r="T503" s="3"/>
    </row>
    <row r="504" spans="20:20" x14ac:dyDescent="0.25">
      <c r="T504" s="3"/>
    </row>
    <row r="505" spans="20:20" x14ac:dyDescent="0.25">
      <c r="T505" s="3"/>
    </row>
    <row r="506" spans="20:20" x14ac:dyDescent="0.25">
      <c r="T506" s="3"/>
    </row>
    <row r="507" spans="20:20" x14ac:dyDescent="0.25">
      <c r="T507" s="3"/>
    </row>
    <row r="508" spans="20:20" x14ac:dyDescent="0.25">
      <c r="T508" s="3"/>
    </row>
    <row r="509" spans="20:20" x14ac:dyDescent="0.25">
      <c r="T509" s="3"/>
    </row>
    <row r="510" spans="20:20" x14ac:dyDescent="0.25">
      <c r="T510" s="3"/>
    </row>
    <row r="511" spans="20:20" x14ac:dyDescent="0.25">
      <c r="T511" s="3"/>
    </row>
    <row r="512" spans="20:20" x14ac:dyDescent="0.25">
      <c r="T512" s="3"/>
    </row>
    <row r="513" spans="20:20" x14ac:dyDescent="0.25">
      <c r="T513" s="3"/>
    </row>
    <row r="514" spans="20:20" x14ac:dyDescent="0.25">
      <c r="T514" s="3"/>
    </row>
    <row r="515" spans="20:20" x14ac:dyDescent="0.25">
      <c r="T515" s="3"/>
    </row>
    <row r="516" spans="20:20" x14ac:dyDescent="0.25">
      <c r="T516" s="3"/>
    </row>
    <row r="517" spans="20:20" x14ac:dyDescent="0.25">
      <c r="T517" s="3"/>
    </row>
    <row r="518" spans="20:20" x14ac:dyDescent="0.25">
      <c r="T518" s="3"/>
    </row>
    <row r="519" spans="20:20" x14ac:dyDescent="0.25">
      <c r="T519" s="3"/>
    </row>
    <row r="520" spans="20:20" x14ac:dyDescent="0.25">
      <c r="T520" s="3"/>
    </row>
    <row r="521" spans="20:20" x14ac:dyDescent="0.25">
      <c r="T521" s="3"/>
    </row>
    <row r="522" spans="20:20" x14ac:dyDescent="0.25">
      <c r="T522" s="3"/>
    </row>
    <row r="523" spans="20:20" x14ac:dyDescent="0.25">
      <c r="T523" s="3"/>
    </row>
    <row r="524" spans="20:20" x14ac:dyDescent="0.25">
      <c r="T524" s="3"/>
    </row>
    <row r="525" spans="20:20" x14ac:dyDescent="0.25">
      <c r="T525" s="3"/>
    </row>
    <row r="526" spans="20:20" x14ac:dyDescent="0.25">
      <c r="T526" s="3"/>
    </row>
    <row r="527" spans="20:20" x14ac:dyDescent="0.25">
      <c r="T527" s="3"/>
    </row>
    <row r="528" spans="20:20" x14ac:dyDescent="0.25">
      <c r="T528" s="3"/>
    </row>
    <row r="529" spans="20:20" x14ac:dyDescent="0.25">
      <c r="T529" s="3"/>
    </row>
    <row r="530" spans="20:20" x14ac:dyDescent="0.25">
      <c r="T530" s="3"/>
    </row>
    <row r="531" spans="20:20" x14ac:dyDescent="0.25">
      <c r="T531" s="3"/>
    </row>
    <row r="532" spans="20:20" x14ac:dyDescent="0.25">
      <c r="T532" s="3"/>
    </row>
    <row r="533" spans="20:20" x14ac:dyDescent="0.25">
      <c r="T533" s="3"/>
    </row>
    <row r="534" spans="20:20" x14ac:dyDescent="0.25">
      <c r="T534" s="3"/>
    </row>
    <row r="535" spans="20:20" x14ac:dyDescent="0.25">
      <c r="T535" s="3"/>
    </row>
    <row r="536" spans="20:20" x14ac:dyDescent="0.25">
      <c r="T536" s="3"/>
    </row>
    <row r="537" spans="20:20" x14ac:dyDescent="0.25">
      <c r="T537" s="3"/>
    </row>
    <row r="538" spans="20:20" x14ac:dyDescent="0.25">
      <c r="T538" s="3"/>
    </row>
    <row r="539" spans="20:20" x14ac:dyDescent="0.25">
      <c r="T539" s="3"/>
    </row>
    <row r="540" spans="20:20" x14ac:dyDescent="0.25">
      <c r="T540" s="3"/>
    </row>
    <row r="541" spans="20:20" x14ac:dyDescent="0.25">
      <c r="T541" s="3"/>
    </row>
    <row r="542" spans="20:20" x14ac:dyDescent="0.25">
      <c r="T542" s="3"/>
    </row>
    <row r="543" spans="20:20" x14ac:dyDescent="0.25">
      <c r="T543" s="3"/>
    </row>
    <row r="544" spans="20:20" x14ac:dyDescent="0.25">
      <c r="T544" s="3"/>
    </row>
    <row r="545" spans="20:20" x14ac:dyDescent="0.25">
      <c r="T545" s="3"/>
    </row>
    <row r="546" spans="20:20" x14ac:dyDescent="0.25">
      <c r="T546" s="3"/>
    </row>
    <row r="547" spans="20:20" x14ac:dyDescent="0.25">
      <c r="T547" s="3"/>
    </row>
    <row r="548" spans="20:20" x14ac:dyDescent="0.25">
      <c r="T548" s="3"/>
    </row>
    <row r="549" spans="20:20" x14ac:dyDescent="0.25">
      <c r="T549" s="3"/>
    </row>
    <row r="550" spans="20:20" x14ac:dyDescent="0.25">
      <c r="T550" s="3"/>
    </row>
    <row r="551" spans="20:20" x14ac:dyDescent="0.25">
      <c r="T551" s="3"/>
    </row>
    <row r="552" spans="20:20" x14ac:dyDescent="0.25">
      <c r="T552" s="3"/>
    </row>
    <row r="553" spans="20:20" x14ac:dyDescent="0.25">
      <c r="T553" s="3"/>
    </row>
    <row r="554" spans="20:20" x14ac:dyDescent="0.25">
      <c r="T554" s="3"/>
    </row>
    <row r="555" spans="20:20" x14ac:dyDescent="0.25">
      <c r="T555" s="3"/>
    </row>
    <row r="556" spans="20:20" x14ac:dyDescent="0.25">
      <c r="T556" s="3"/>
    </row>
    <row r="557" spans="20:20" x14ac:dyDescent="0.25">
      <c r="T557" s="3"/>
    </row>
    <row r="558" spans="20:20" x14ac:dyDescent="0.25">
      <c r="T558" s="3"/>
    </row>
    <row r="559" spans="20:20" x14ac:dyDescent="0.25">
      <c r="T559" s="3"/>
    </row>
    <row r="560" spans="20:20" x14ac:dyDescent="0.25">
      <c r="T560" s="3"/>
    </row>
    <row r="561" spans="20:20" x14ac:dyDescent="0.25">
      <c r="T561" s="3"/>
    </row>
    <row r="562" spans="20:20" x14ac:dyDescent="0.25">
      <c r="T562" s="3"/>
    </row>
    <row r="563" spans="20:20" x14ac:dyDescent="0.25">
      <c r="T563" s="3"/>
    </row>
    <row r="564" spans="20:20" x14ac:dyDescent="0.25">
      <c r="T564" s="3"/>
    </row>
    <row r="565" spans="20:20" x14ac:dyDescent="0.25">
      <c r="T565" s="3"/>
    </row>
    <row r="566" spans="20:20" x14ac:dyDescent="0.25">
      <c r="T566" s="3"/>
    </row>
    <row r="567" spans="20:20" x14ac:dyDescent="0.25">
      <c r="T567" s="3"/>
    </row>
    <row r="568" spans="20:20" x14ac:dyDescent="0.25">
      <c r="T568" s="3"/>
    </row>
    <row r="569" spans="20:20" x14ac:dyDescent="0.25">
      <c r="T569" s="3"/>
    </row>
    <row r="570" spans="20:20" x14ac:dyDescent="0.25">
      <c r="T570" s="3"/>
    </row>
    <row r="571" spans="20:20" x14ac:dyDescent="0.25">
      <c r="T571" s="3"/>
    </row>
    <row r="572" spans="20:20" x14ac:dyDescent="0.25">
      <c r="T572" s="3"/>
    </row>
    <row r="573" spans="20:20" x14ac:dyDescent="0.25">
      <c r="T573" s="3"/>
    </row>
    <row r="574" spans="20:20" x14ac:dyDescent="0.25">
      <c r="T574" s="3"/>
    </row>
    <row r="575" spans="20:20" x14ac:dyDescent="0.25">
      <c r="T575" s="3"/>
    </row>
    <row r="576" spans="20:20" x14ac:dyDescent="0.25">
      <c r="T576" s="3"/>
    </row>
    <row r="577" spans="20:20" x14ac:dyDescent="0.25">
      <c r="T577" s="3"/>
    </row>
    <row r="578" spans="20:20" x14ac:dyDescent="0.25">
      <c r="T578" s="3"/>
    </row>
    <row r="579" spans="20:20" x14ac:dyDescent="0.25">
      <c r="T579" s="3"/>
    </row>
    <row r="580" spans="20:20" x14ac:dyDescent="0.25">
      <c r="T580" s="3"/>
    </row>
    <row r="581" spans="20:20" x14ac:dyDescent="0.25">
      <c r="T581" s="3"/>
    </row>
    <row r="582" spans="20:20" x14ac:dyDescent="0.25">
      <c r="T582" s="3"/>
    </row>
    <row r="583" spans="20:20" x14ac:dyDescent="0.25">
      <c r="T583" s="3"/>
    </row>
    <row r="584" spans="20:20" x14ac:dyDescent="0.25">
      <c r="T584" s="3"/>
    </row>
    <row r="585" spans="20:20" x14ac:dyDescent="0.25">
      <c r="T585" s="3"/>
    </row>
    <row r="586" spans="20:20" x14ac:dyDescent="0.25">
      <c r="T586" s="3"/>
    </row>
    <row r="587" spans="20:20" x14ac:dyDescent="0.25">
      <c r="T587" s="3"/>
    </row>
    <row r="588" spans="20:20" x14ac:dyDescent="0.25">
      <c r="T588" s="3"/>
    </row>
    <row r="589" spans="20:20" x14ac:dyDescent="0.25">
      <c r="T589" s="3"/>
    </row>
    <row r="590" spans="20:20" x14ac:dyDescent="0.25">
      <c r="T590" s="3"/>
    </row>
    <row r="591" spans="20:20" x14ac:dyDescent="0.25">
      <c r="T591" s="3"/>
    </row>
    <row r="592" spans="20:20" x14ac:dyDescent="0.25">
      <c r="T592" s="3"/>
    </row>
    <row r="593" spans="20:20" x14ac:dyDescent="0.25">
      <c r="T593" s="3"/>
    </row>
    <row r="594" spans="20:20" x14ac:dyDescent="0.25">
      <c r="T594" s="3"/>
    </row>
    <row r="595" spans="20:20" x14ac:dyDescent="0.25">
      <c r="T595" s="3"/>
    </row>
    <row r="596" spans="20:20" x14ac:dyDescent="0.25">
      <c r="T596" s="3"/>
    </row>
    <row r="597" spans="20:20" x14ac:dyDescent="0.25">
      <c r="T597" s="3"/>
    </row>
    <row r="598" spans="20:20" x14ac:dyDescent="0.25">
      <c r="T598" s="3"/>
    </row>
    <row r="599" spans="20:20" x14ac:dyDescent="0.25">
      <c r="T599" s="3"/>
    </row>
    <row r="600" spans="20:20" x14ac:dyDescent="0.25">
      <c r="T600" s="3"/>
    </row>
    <row r="601" spans="20:20" x14ac:dyDescent="0.25">
      <c r="T601" s="3"/>
    </row>
    <row r="602" spans="20:20" x14ac:dyDescent="0.25">
      <c r="T602" s="3"/>
    </row>
    <row r="603" spans="20:20" x14ac:dyDescent="0.25">
      <c r="T603" s="3"/>
    </row>
    <row r="604" spans="20:20" x14ac:dyDescent="0.25">
      <c r="T604" s="3"/>
    </row>
    <row r="605" spans="20:20" x14ac:dyDescent="0.25">
      <c r="T605" s="3"/>
    </row>
    <row r="606" spans="20:20" x14ac:dyDescent="0.25">
      <c r="T606" s="3"/>
    </row>
    <row r="607" spans="20:20" x14ac:dyDescent="0.25">
      <c r="T607" s="3"/>
    </row>
    <row r="608" spans="20:20" x14ac:dyDescent="0.25">
      <c r="T608" s="3"/>
    </row>
    <row r="609" spans="20:20" x14ac:dyDescent="0.25">
      <c r="T609" s="3"/>
    </row>
    <row r="610" spans="20:20" x14ac:dyDescent="0.25">
      <c r="T610" s="3"/>
    </row>
    <row r="611" spans="20:20" x14ac:dyDescent="0.25">
      <c r="T611" s="3"/>
    </row>
    <row r="612" spans="20:20" x14ac:dyDescent="0.25">
      <c r="T612" s="3"/>
    </row>
    <row r="613" spans="20:20" x14ac:dyDescent="0.25">
      <c r="T613" s="3"/>
    </row>
    <row r="614" spans="20:20" x14ac:dyDescent="0.25">
      <c r="T614" s="3"/>
    </row>
    <row r="615" spans="20:20" x14ac:dyDescent="0.25">
      <c r="T615" s="3"/>
    </row>
    <row r="616" spans="20:20" x14ac:dyDescent="0.25">
      <c r="T616" s="3"/>
    </row>
    <row r="617" spans="20:20" x14ac:dyDescent="0.25">
      <c r="T617" s="3"/>
    </row>
    <row r="618" spans="20:20" x14ac:dyDescent="0.25">
      <c r="T618" s="3"/>
    </row>
    <row r="619" spans="20:20" x14ac:dyDescent="0.25">
      <c r="T619" s="3"/>
    </row>
    <row r="620" spans="20:20" x14ac:dyDescent="0.25">
      <c r="T620" s="3"/>
    </row>
    <row r="621" spans="20:20" x14ac:dyDescent="0.25">
      <c r="T621" s="3"/>
    </row>
    <row r="622" spans="20:20" x14ac:dyDescent="0.25">
      <c r="T622" s="3"/>
    </row>
    <row r="623" spans="20:20" x14ac:dyDescent="0.25">
      <c r="T623" s="3"/>
    </row>
    <row r="624" spans="20:20" x14ac:dyDescent="0.25">
      <c r="T624" s="3"/>
    </row>
    <row r="625" spans="20:20" x14ac:dyDescent="0.25">
      <c r="T625" s="3"/>
    </row>
    <row r="626" spans="20:20" x14ac:dyDescent="0.25">
      <c r="T626" s="3"/>
    </row>
    <row r="627" spans="20:20" x14ac:dyDescent="0.25">
      <c r="T627" s="3"/>
    </row>
    <row r="628" spans="20:20" x14ac:dyDescent="0.25">
      <c r="T628" s="3"/>
    </row>
    <row r="629" spans="20:20" x14ac:dyDescent="0.25">
      <c r="T629" s="3"/>
    </row>
    <row r="630" spans="20:20" x14ac:dyDescent="0.25">
      <c r="T630" s="3"/>
    </row>
    <row r="631" spans="20:20" x14ac:dyDescent="0.25">
      <c r="T631" s="3"/>
    </row>
    <row r="632" spans="20:20" x14ac:dyDescent="0.25">
      <c r="T632" s="3"/>
    </row>
    <row r="633" spans="20:20" x14ac:dyDescent="0.25">
      <c r="T633" s="3"/>
    </row>
    <row r="634" spans="20:20" x14ac:dyDescent="0.25">
      <c r="T634" s="3"/>
    </row>
    <row r="635" spans="20:20" x14ac:dyDescent="0.25">
      <c r="T635" s="3"/>
    </row>
    <row r="636" spans="20:20" x14ac:dyDescent="0.25">
      <c r="T636" s="3"/>
    </row>
    <row r="637" spans="20:20" x14ac:dyDescent="0.25">
      <c r="T637" s="3"/>
    </row>
    <row r="638" spans="20:20" x14ac:dyDescent="0.25">
      <c r="T638" s="3"/>
    </row>
    <row r="639" spans="20:20" x14ac:dyDescent="0.25">
      <c r="T639" s="3"/>
    </row>
    <row r="640" spans="20:20" x14ac:dyDescent="0.25">
      <c r="T640" s="3"/>
    </row>
    <row r="641" spans="20:20" x14ac:dyDescent="0.25">
      <c r="T641" s="3"/>
    </row>
    <row r="642" spans="20:20" x14ac:dyDescent="0.25">
      <c r="T642" s="3"/>
    </row>
    <row r="643" spans="20:20" x14ac:dyDescent="0.25">
      <c r="T643" s="3"/>
    </row>
    <row r="644" spans="20:20" x14ac:dyDescent="0.25">
      <c r="T644" s="3"/>
    </row>
    <row r="645" spans="20:20" x14ac:dyDescent="0.25">
      <c r="T645" s="3"/>
    </row>
    <row r="646" spans="20:20" x14ac:dyDescent="0.25">
      <c r="T646" s="3"/>
    </row>
    <row r="647" spans="20:20" x14ac:dyDescent="0.25">
      <c r="T647" s="3"/>
    </row>
    <row r="648" spans="20:20" x14ac:dyDescent="0.25">
      <c r="T648" s="3"/>
    </row>
    <row r="649" spans="20:20" x14ac:dyDescent="0.25">
      <c r="T649" s="3"/>
    </row>
    <row r="650" spans="20:20" x14ac:dyDescent="0.25">
      <c r="T650" s="3"/>
    </row>
    <row r="651" spans="20:20" x14ac:dyDescent="0.25">
      <c r="T651" s="3"/>
    </row>
    <row r="652" spans="20:20" x14ac:dyDescent="0.25">
      <c r="T652" s="3"/>
    </row>
    <row r="653" spans="20:20" x14ac:dyDescent="0.25">
      <c r="T653" s="3"/>
    </row>
    <row r="654" spans="20:20" x14ac:dyDescent="0.25">
      <c r="T654" s="3"/>
    </row>
    <row r="655" spans="20:20" x14ac:dyDescent="0.25">
      <c r="T655" s="3"/>
    </row>
    <row r="656" spans="20:20" x14ac:dyDescent="0.25">
      <c r="T656" s="3"/>
    </row>
    <row r="657" spans="20:20" x14ac:dyDescent="0.25">
      <c r="T657" s="3"/>
    </row>
    <row r="658" spans="20:20" x14ac:dyDescent="0.25">
      <c r="T658" s="3"/>
    </row>
    <row r="659" spans="20:20" x14ac:dyDescent="0.25">
      <c r="T659" s="3"/>
    </row>
    <row r="660" spans="20:20" x14ac:dyDescent="0.25">
      <c r="T660" s="3"/>
    </row>
    <row r="661" spans="20:20" x14ac:dyDescent="0.25">
      <c r="T661" s="3"/>
    </row>
    <row r="662" spans="20:20" x14ac:dyDescent="0.25">
      <c r="T662" s="3"/>
    </row>
    <row r="663" spans="20:20" x14ac:dyDescent="0.25">
      <c r="T663" s="3"/>
    </row>
    <row r="664" spans="20:20" x14ac:dyDescent="0.25">
      <c r="T664" s="3"/>
    </row>
    <row r="665" spans="20:20" x14ac:dyDescent="0.25">
      <c r="T665" s="3"/>
    </row>
    <row r="666" spans="20:20" x14ac:dyDescent="0.25">
      <c r="T666" s="3"/>
    </row>
    <row r="667" spans="20:20" x14ac:dyDescent="0.25">
      <c r="T667" s="3"/>
    </row>
    <row r="668" spans="20:20" x14ac:dyDescent="0.25">
      <c r="T668" s="3"/>
    </row>
    <row r="669" spans="20:20" x14ac:dyDescent="0.25">
      <c r="T669" s="3"/>
    </row>
    <row r="670" spans="20:20" x14ac:dyDescent="0.25">
      <c r="T670" s="3"/>
    </row>
    <row r="671" spans="20:20" x14ac:dyDescent="0.25">
      <c r="T671" s="3"/>
    </row>
    <row r="672" spans="20:20" x14ac:dyDescent="0.25">
      <c r="T672" s="3"/>
    </row>
    <row r="673" spans="20:20" x14ac:dyDescent="0.25">
      <c r="T673" s="3"/>
    </row>
    <row r="674" spans="20:20" x14ac:dyDescent="0.25">
      <c r="T674" s="3"/>
    </row>
    <row r="675" spans="20:20" x14ac:dyDescent="0.25">
      <c r="T675" s="3"/>
    </row>
    <row r="676" spans="20:20" x14ac:dyDescent="0.25">
      <c r="T676" s="3"/>
    </row>
    <row r="677" spans="20:20" x14ac:dyDescent="0.25">
      <c r="T677" s="3"/>
    </row>
    <row r="678" spans="20:20" x14ac:dyDescent="0.25">
      <c r="T678" s="3"/>
    </row>
    <row r="679" spans="20:20" x14ac:dyDescent="0.25">
      <c r="T679" s="3"/>
    </row>
    <row r="680" spans="20:20" x14ac:dyDescent="0.25">
      <c r="T680" s="3"/>
    </row>
    <row r="681" spans="20:20" x14ac:dyDescent="0.25">
      <c r="T681" s="3"/>
    </row>
    <row r="682" spans="20:20" x14ac:dyDescent="0.25">
      <c r="T682" s="3"/>
    </row>
    <row r="683" spans="20:20" x14ac:dyDescent="0.25">
      <c r="T683" s="3"/>
    </row>
    <row r="684" spans="20:20" x14ac:dyDescent="0.25">
      <c r="T684" s="3"/>
    </row>
    <row r="685" spans="20:20" x14ac:dyDescent="0.25">
      <c r="T685" s="3"/>
    </row>
    <row r="686" spans="20:20" x14ac:dyDescent="0.25">
      <c r="T686" s="3"/>
    </row>
    <row r="687" spans="20:20" x14ac:dyDescent="0.25">
      <c r="T687" s="3"/>
    </row>
    <row r="688" spans="20:20" x14ac:dyDescent="0.25">
      <c r="T688" s="3"/>
    </row>
    <row r="689" spans="20:20" x14ac:dyDescent="0.25">
      <c r="T689" s="3"/>
    </row>
    <row r="690" spans="20:20" x14ac:dyDescent="0.25">
      <c r="T690" s="3"/>
    </row>
    <row r="691" spans="20:20" x14ac:dyDescent="0.25">
      <c r="T691" s="3"/>
    </row>
    <row r="692" spans="20:20" x14ac:dyDescent="0.25">
      <c r="T692" s="3"/>
    </row>
    <row r="693" spans="20:20" x14ac:dyDescent="0.25">
      <c r="T693" s="3"/>
    </row>
    <row r="694" spans="20:20" x14ac:dyDescent="0.25">
      <c r="T694" s="3"/>
    </row>
    <row r="695" spans="20:20" x14ac:dyDescent="0.25">
      <c r="T695" s="3"/>
    </row>
    <row r="696" spans="20:20" x14ac:dyDescent="0.25">
      <c r="T696" s="3"/>
    </row>
    <row r="697" spans="20:20" x14ac:dyDescent="0.25">
      <c r="T697" s="3"/>
    </row>
    <row r="698" spans="20:20" x14ac:dyDescent="0.25">
      <c r="T698" s="3"/>
    </row>
    <row r="699" spans="20:20" x14ac:dyDescent="0.25">
      <c r="T699" s="3"/>
    </row>
    <row r="700" spans="20:20" x14ac:dyDescent="0.25">
      <c r="T700" s="3"/>
    </row>
    <row r="701" spans="20:20" x14ac:dyDescent="0.25">
      <c r="T701" s="3"/>
    </row>
    <row r="702" spans="20:20" x14ac:dyDescent="0.25">
      <c r="T702" s="3"/>
    </row>
    <row r="703" spans="20:20" x14ac:dyDescent="0.25">
      <c r="T703" s="3"/>
    </row>
    <row r="704" spans="20:20" x14ac:dyDescent="0.25">
      <c r="T704" s="3"/>
    </row>
    <row r="705" spans="20:20" x14ac:dyDescent="0.25">
      <c r="T705" s="3"/>
    </row>
    <row r="706" spans="20:20" x14ac:dyDescent="0.25">
      <c r="T706" s="3"/>
    </row>
    <row r="707" spans="20:20" x14ac:dyDescent="0.25">
      <c r="T707" s="3"/>
    </row>
    <row r="708" spans="20:20" x14ac:dyDescent="0.25">
      <c r="T708" s="3"/>
    </row>
    <row r="709" spans="20:20" x14ac:dyDescent="0.25">
      <c r="T709" s="3"/>
    </row>
    <row r="710" spans="20:20" x14ac:dyDescent="0.25">
      <c r="T710" s="3"/>
    </row>
    <row r="711" spans="20:20" x14ac:dyDescent="0.25">
      <c r="T711" s="3"/>
    </row>
    <row r="712" spans="20:20" x14ac:dyDescent="0.25">
      <c r="T712" s="3"/>
    </row>
    <row r="713" spans="20:20" x14ac:dyDescent="0.25">
      <c r="T713" s="3"/>
    </row>
    <row r="714" spans="20:20" x14ac:dyDescent="0.25">
      <c r="T714" s="3"/>
    </row>
    <row r="715" spans="20:20" x14ac:dyDescent="0.25">
      <c r="T715" s="3"/>
    </row>
    <row r="716" spans="20:20" x14ac:dyDescent="0.25">
      <c r="T716" s="3"/>
    </row>
    <row r="717" spans="20:20" x14ac:dyDescent="0.25">
      <c r="T717" s="3"/>
    </row>
    <row r="718" spans="20:20" x14ac:dyDescent="0.25">
      <c r="T718" s="3"/>
    </row>
    <row r="719" spans="20:20" x14ac:dyDescent="0.25">
      <c r="T719" s="3"/>
    </row>
    <row r="720" spans="20:20" x14ac:dyDescent="0.25">
      <c r="T720" s="3"/>
    </row>
    <row r="721" spans="20:20" x14ac:dyDescent="0.25">
      <c r="T721" s="3"/>
    </row>
    <row r="722" spans="20:20" x14ac:dyDescent="0.25">
      <c r="T722" s="3"/>
    </row>
    <row r="723" spans="20:20" x14ac:dyDescent="0.25">
      <c r="T723" s="3"/>
    </row>
    <row r="724" spans="20:20" x14ac:dyDescent="0.25">
      <c r="T724" s="3"/>
    </row>
    <row r="725" spans="20:20" x14ac:dyDescent="0.25">
      <c r="T725" s="3"/>
    </row>
    <row r="726" spans="20:20" x14ac:dyDescent="0.25">
      <c r="T726" s="3"/>
    </row>
    <row r="727" spans="20:20" x14ac:dyDescent="0.25">
      <c r="T727" s="3"/>
    </row>
    <row r="728" spans="20:20" x14ac:dyDescent="0.25">
      <c r="T728" s="3"/>
    </row>
    <row r="729" spans="20:20" x14ac:dyDescent="0.25">
      <c r="T729" s="3"/>
    </row>
    <row r="730" spans="20:20" x14ac:dyDescent="0.25">
      <c r="T730" s="3"/>
    </row>
    <row r="731" spans="20:20" x14ac:dyDescent="0.25">
      <c r="T731" s="3"/>
    </row>
    <row r="732" spans="20:20" x14ac:dyDescent="0.25">
      <c r="T732" s="3"/>
    </row>
    <row r="733" spans="20:20" x14ac:dyDescent="0.25">
      <c r="T733" s="3"/>
    </row>
    <row r="734" spans="20:20" x14ac:dyDescent="0.25">
      <c r="T734" s="3"/>
    </row>
    <row r="735" spans="20:20" x14ac:dyDescent="0.25">
      <c r="T735" s="3"/>
    </row>
    <row r="736" spans="20:20" x14ac:dyDescent="0.25">
      <c r="T736" s="3"/>
    </row>
    <row r="737" spans="20:20" x14ac:dyDescent="0.25">
      <c r="T737" s="3"/>
    </row>
    <row r="738" spans="20:20" x14ac:dyDescent="0.25">
      <c r="T738" s="3"/>
    </row>
    <row r="739" spans="20:20" x14ac:dyDescent="0.25">
      <c r="T739" s="3"/>
    </row>
    <row r="740" spans="20:20" x14ac:dyDescent="0.25">
      <c r="T740" s="3"/>
    </row>
    <row r="741" spans="20:20" x14ac:dyDescent="0.25">
      <c r="T741" s="3"/>
    </row>
    <row r="742" spans="20:20" x14ac:dyDescent="0.25">
      <c r="T742" s="3"/>
    </row>
    <row r="743" spans="20:20" x14ac:dyDescent="0.25">
      <c r="T743" s="3"/>
    </row>
    <row r="744" spans="20:20" x14ac:dyDescent="0.25">
      <c r="T744" s="3"/>
    </row>
    <row r="745" spans="20:20" x14ac:dyDescent="0.25">
      <c r="T745" s="3"/>
    </row>
    <row r="746" spans="20:20" x14ac:dyDescent="0.25">
      <c r="T746" s="3"/>
    </row>
    <row r="747" spans="20:20" x14ac:dyDescent="0.25">
      <c r="T747" s="3"/>
    </row>
    <row r="748" spans="20:20" x14ac:dyDescent="0.25">
      <c r="T748" s="3"/>
    </row>
    <row r="749" spans="20:20" x14ac:dyDescent="0.25">
      <c r="T749" s="3"/>
    </row>
    <row r="750" spans="20:20" x14ac:dyDescent="0.25">
      <c r="T750" s="3"/>
    </row>
    <row r="751" spans="20:20" x14ac:dyDescent="0.25">
      <c r="T751" s="3"/>
    </row>
    <row r="752" spans="20:20" x14ac:dyDescent="0.25">
      <c r="T752" s="3"/>
    </row>
    <row r="753" spans="20:20" x14ac:dyDescent="0.25">
      <c r="T753" s="3"/>
    </row>
    <row r="754" spans="20:20" x14ac:dyDescent="0.25">
      <c r="T754" s="3"/>
    </row>
    <row r="755" spans="20:20" x14ac:dyDescent="0.25">
      <c r="T755" s="3"/>
    </row>
    <row r="756" spans="20:20" x14ac:dyDescent="0.25">
      <c r="T756" s="3"/>
    </row>
    <row r="757" spans="20:20" x14ac:dyDescent="0.25">
      <c r="T757" s="3"/>
    </row>
    <row r="758" spans="20:20" x14ac:dyDescent="0.25">
      <c r="T758" s="3"/>
    </row>
    <row r="759" spans="20:20" x14ac:dyDescent="0.25">
      <c r="T759" s="3"/>
    </row>
    <row r="760" spans="20:20" x14ac:dyDescent="0.25">
      <c r="T760" s="3"/>
    </row>
    <row r="761" spans="20:20" x14ac:dyDescent="0.25">
      <c r="T761" s="3"/>
    </row>
    <row r="762" spans="20:20" x14ac:dyDescent="0.25">
      <c r="T762" s="3"/>
    </row>
    <row r="763" spans="20:20" x14ac:dyDescent="0.25">
      <c r="T763" s="3"/>
    </row>
    <row r="764" spans="20:20" x14ac:dyDescent="0.25">
      <c r="T764" s="3"/>
    </row>
    <row r="765" spans="20:20" x14ac:dyDescent="0.25">
      <c r="T765" s="3"/>
    </row>
    <row r="766" spans="20:20" x14ac:dyDescent="0.25">
      <c r="T766" s="3"/>
    </row>
    <row r="767" spans="20:20" x14ac:dyDescent="0.25">
      <c r="T767" s="3"/>
    </row>
    <row r="768" spans="20:20" x14ac:dyDescent="0.25">
      <c r="T768" s="3"/>
    </row>
    <row r="769" spans="20:20" x14ac:dyDescent="0.25">
      <c r="T769" s="3"/>
    </row>
    <row r="770" spans="20:20" x14ac:dyDescent="0.25">
      <c r="T770" s="3"/>
    </row>
    <row r="771" spans="20:20" x14ac:dyDescent="0.25">
      <c r="T771" s="3"/>
    </row>
    <row r="772" spans="20:20" x14ac:dyDescent="0.25">
      <c r="T772" s="3"/>
    </row>
    <row r="773" spans="20:20" x14ac:dyDescent="0.25">
      <c r="T773" s="3"/>
    </row>
    <row r="774" spans="20:20" x14ac:dyDescent="0.25">
      <c r="T774" s="3"/>
    </row>
    <row r="775" spans="20:20" x14ac:dyDescent="0.25">
      <c r="T775" s="3"/>
    </row>
    <row r="776" spans="20:20" x14ac:dyDescent="0.25">
      <c r="T776" s="3"/>
    </row>
    <row r="777" spans="20:20" x14ac:dyDescent="0.25">
      <c r="T777" s="3"/>
    </row>
    <row r="778" spans="20:20" x14ac:dyDescent="0.25">
      <c r="T778" s="3"/>
    </row>
    <row r="779" spans="20:20" x14ac:dyDescent="0.25">
      <c r="T779" s="3"/>
    </row>
    <row r="780" spans="20:20" x14ac:dyDescent="0.25">
      <c r="T780" s="3"/>
    </row>
    <row r="781" spans="20:20" x14ac:dyDescent="0.25">
      <c r="T781" s="3"/>
    </row>
    <row r="782" spans="20:20" x14ac:dyDescent="0.25">
      <c r="T782" s="3"/>
    </row>
    <row r="783" spans="20:20" x14ac:dyDescent="0.25">
      <c r="T783" s="3"/>
    </row>
    <row r="784" spans="20:20" x14ac:dyDescent="0.25">
      <c r="T784" s="3"/>
    </row>
    <row r="785" spans="20:20" x14ac:dyDescent="0.25">
      <c r="T785" s="3"/>
    </row>
    <row r="786" spans="20:20" x14ac:dyDescent="0.25">
      <c r="T786" s="3"/>
    </row>
    <row r="787" spans="20:20" x14ac:dyDescent="0.25">
      <c r="T787" s="3"/>
    </row>
    <row r="788" spans="20:20" x14ac:dyDescent="0.25">
      <c r="T788" s="3"/>
    </row>
    <row r="789" spans="20:20" x14ac:dyDescent="0.25">
      <c r="T789" s="3"/>
    </row>
    <row r="790" spans="20:20" x14ac:dyDescent="0.25">
      <c r="T790" s="3"/>
    </row>
    <row r="791" spans="20:20" x14ac:dyDescent="0.25">
      <c r="T791" s="3"/>
    </row>
    <row r="792" spans="20:20" x14ac:dyDescent="0.25">
      <c r="T792" s="3"/>
    </row>
    <row r="793" spans="20:20" x14ac:dyDescent="0.25">
      <c r="T793" s="3"/>
    </row>
    <row r="794" spans="20:20" x14ac:dyDescent="0.25">
      <c r="T794" s="3"/>
    </row>
    <row r="795" spans="20:20" x14ac:dyDescent="0.25">
      <c r="T795" s="3"/>
    </row>
    <row r="796" spans="20:20" x14ac:dyDescent="0.25">
      <c r="T796" s="3"/>
    </row>
    <row r="797" spans="20:20" x14ac:dyDescent="0.25">
      <c r="T797" s="3"/>
    </row>
    <row r="798" spans="20:20" x14ac:dyDescent="0.25">
      <c r="T798" s="3"/>
    </row>
    <row r="799" spans="20:20" x14ac:dyDescent="0.25">
      <c r="T799" s="3"/>
    </row>
    <row r="800" spans="20:20" x14ac:dyDescent="0.25">
      <c r="T800" s="3"/>
    </row>
    <row r="801" spans="20:20" x14ac:dyDescent="0.25">
      <c r="T801" s="3"/>
    </row>
    <row r="802" spans="20:20" x14ac:dyDescent="0.25">
      <c r="T802" s="3"/>
    </row>
    <row r="803" spans="20:20" x14ac:dyDescent="0.25">
      <c r="T803" s="3"/>
    </row>
    <row r="804" spans="20:20" x14ac:dyDescent="0.25">
      <c r="T804" s="3"/>
    </row>
    <row r="805" spans="20:20" x14ac:dyDescent="0.25">
      <c r="T805" s="3"/>
    </row>
    <row r="806" spans="20:20" x14ac:dyDescent="0.25">
      <c r="T806" s="3"/>
    </row>
    <row r="807" spans="20:20" x14ac:dyDescent="0.25">
      <c r="T807" s="3"/>
    </row>
    <row r="808" spans="20:20" x14ac:dyDescent="0.25">
      <c r="T808" s="3"/>
    </row>
    <row r="809" spans="20:20" x14ac:dyDescent="0.25">
      <c r="T809" s="3"/>
    </row>
    <row r="810" spans="20:20" x14ac:dyDescent="0.25">
      <c r="T810" s="3"/>
    </row>
    <row r="811" spans="20:20" x14ac:dyDescent="0.25">
      <c r="T811" s="3"/>
    </row>
    <row r="812" spans="20:20" x14ac:dyDescent="0.25">
      <c r="T812" s="3"/>
    </row>
    <row r="813" spans="20:20" x14ac:dyDescent="0.25">
      <c r="T813" s="3"/>
    </row>
    <row r="814" spans="20:20" x14ac:dyDescent="0.25">
      <c r="T814" s="3"/>
    </row>
    <row r="815" spans="20:20" x14ac:dyDescent="0.25">
      <c r="T815" s="3"/>
    </row>
    <row r="816" spans="20:20" x14ac:dyDescent="0.25">
      <c r="T816" s="3"/>
    </row>
    <row r="817" spans="20:20" x14ac:dyDescent="0.25">
      <c r="T817" s="3"/>
    </row>
    <row r="818" spans="20:20" x14ac:dyDescent="0.25">
      <c r="T818" s="3"/>
    </row>
    <row r="819" spans="20:20" x14ac:dyDescent="0.25">
      <c r="T819" s="3"/>
    </row>
    <row r="820" spans="20:20" x14ac:dyDescent="0.25">
      <c r="T820" s="3"/>
    </row>
    <row r="821" spans="20:20" x14ac:dyDescent="0.25">
      <c r="T821" s="3"/>
    </row>
    <row r="822" spans="20:20" x14ac:dyDescent="0.25">
      <c r="T822" s="3"/>
    </row>
    <row r="823" spans="20:20" x14ac:dyDescent="0.25">
      <c r="T823" s="3"/>
    </row>
    <row r="824" spans="20:20" x14ac:dyDescent="0.25">
      <c r="T824" s="3"/>
    </row>
    <row r="825" spans="20:20" x14ac:dyDescent="0.25">
      <c r="T825" s="3"/>
    </row>
    <row r="826" spans="20:20" x14ac:dyDescent="0.25">
      <c r="T826" s="3"/>
    </row>
    <row r="827" spans="20:20" x14ac:dyDescent="0.25">
      <c r="T827" s="3"/>
    </row>
    <row r="828" spans="20:20" x14ac:dyDescent="0.25">
      <c r="T828" s="3"/>
    </row>
    <row r="829" spans="20:20" x14ac:dyDescent="0.25">
      <c r="T829" s="3"/>
    </row>
    <row r="830" spans="20:20" x14ac:dyDescent="0.25">
      <c r="T830" s="3"/>
    </row>
    <row r="831" spans="20:20" x14ac:dyDescent="0.25">
      <c r="T831" s="3"/>
    </row>
    <row r="832" spans="20:20" x14ac:dyDescent="0.25">
      <c r="T832" s="3"/>
    </row>
    <row r="833" spans="20:20" x14ac:dyDescent="0.25">
      <c r="T833" s="3"/>
    </row>
    <row r="834" spans="20:20" x14ac:dyDescent="0.25">
      <c r="T834" s="3"/>
    </row>
    <row r="835" spans="20:20" x14ac:dyDescent="0.25">
      <c r="T835" s="3"/>
    </row>
    <row r="836" spans="20:20" x14ac:dyDescent="0.25">
      <c r="T836" s="3"/>
    </row>
    <row r="837" spans="20:20" x14ac:dyDescent="0.25">
      <c r="T837" s="3"/>
    </row>
    <row r="838" spans="20:20" x14ac:dyDescent="0.25">
      <c r="T838" s="3"/>
    </row>
    <row r="839" spans="20:20" x14ac:dyDescent="0.25">
      <c r="T839" s="3"/>
    </row>
    <row r="840" spans="20:20" x14ac:dyDescent="0.25">
      <c r="T840" s="3"/>
    </row>
    <row r="841" spans="20:20" x14ac:dyDescent="0.25">
      <c r="T841" s="3"/>
    </row>
    <row r="842" spans="20:20" x14ac:dyDescent="0.25">
      <c r="T842" s="3"/>
    </row>
    <row r="843" spans="20:20" x14ac:dyDescent="0.25">
      <c r="T843" s="3"/>
    </row>
    <row r="844" spans="20:20" x14ac:dyDescent="0.25">
      <c r="T844" s="3"/>
    </row>
    <row r="845" spans="20:20" x14ac:dyDescent="0.25">
      <c r="T845" s="3"/>
    </row>
    <row r="846" spans="20:20" x14ac:dyDescent="0.25">
      <c r="T846" s="3"/>
    </row>
    <row r="847" spans="20:20" x14ac:dyDescent="0.25">
      <c r="T847" s="3"/>
    </row>
    <row r="848" spans="20:20" x14ac:dyDescent="0.25">
      <c r="T848" s="3"/>
    </row>
    <row r="849" spans="20:20" x14ac:dyDescent="0.25">
      <c r="T849" s="3"/>
    </row>
    <row r="850" spans="20:20" x14ac:dyDescent="0.25">
      <c r="T850" s="3"/>
    </row>
    <row r="851" spans="20:20" x14ac:dyDescent="0.25">
      <c r="T851" s="3"/>
    </row>
    <row r="852" spans="20:20" x14ac:dyDescent="0.25">
      <c r="T852" s="3"/>
    </row>
    <row r="853" spans="20:20" x14ac:dyDescent="0.25">
      <c r="T853" s="3"/>
    </row>
    <row r="854" spans="20:20" x14ac:dyDescent="0.25">
      <c r="T854" s="3"/>
    </row>
    <row r="855" spans="20:20" x14ac:dyDescent="0.25">
      <c r="T855" s="3"/>
    </row>
    <row r="856" spans="20:20" x14ac:dyDescent="0.25">
      <c r="T856" s="3"/>
    </row>
    <row r="857" spans="20:20" x14ac:dyDescent="0.25">
      <c r="T857" s="3"/>
    </row>
    <row r="858" spans="20:20" x14ac:dyDescent="0.25">
      <c r="T858" s="3"/>
    </row>
    <row r="859" spans="20:20" x14ac:dyDescent="0.25">
      <c r="T859" s="3"/>
    </row>
    <row r="860" spans="20:20" x14ac:dyDescent="0.25">
      <c r="T860" s="3"/>
    </row>
    <row r="861" spans="20:20" x14ac:dyDescent="0.25">
      <c r="T861" s="3"/>
    </row>
    <row r="862" spans="20:20" x14ac:dyDescent="0.25">
      <c r="T862" s="3"/>
    </row>
    <row r="863" spans="20:20" x14ac:dyDescent="0.25">
      <c r="T863" s="3"/>
    </row>
    <row r="864" spans="20:20" x14ac:dyDescent="0.25">
      <c r="T864" s="3"/>
    </row>
    <row r="865" spans="20:20" x14ac:dyDescent="0.25">
      <c r="T865" s="3"/>
    </row>
    <row r="866" spans="20:20" x14ac:dyDescent="0.25">
      <c r="T866" s="3"/>
    </row>
    <row r="867" spans="20:20" x14ac:dyDescent="0.25">
      <c r="T867" s="3"/>
    </row>
    <row r="868" spans="20:20" x14ac:dyDescent="0.25">
      <c r="T868" s="3"/>
    </row>
    <row r="869" spans="20:20" x14ac:dyDescent="0.25">
      <c r="T869" s="3"/>
    </row>
    <row r="870" spans="20:20" x14ac:dyDescent="0.25">
      <c r="T870" s="3"/>
    </row>
    <row r="871" spans="20:20" x14ac:dyDescent="0.25">
      <c r="T871" s="3"/>
    </row>
    <row r="872" spans="20:20" x14ac:dyDescent="0.25">
      <c r="T872" s="3"/>
    </row>
    <row r="873" spans="20:20" x14ac:dyDescent="0.25">
      <c r="T873" s="3"/>
    </row>
    <row r="874" spans="20:20" x14ac:dyDescent="0.25">
      <c r="T874" s="3"/>
    </row>
    <row r="875" spans="20:20" x14ac:dyDescent="0.25">
      <c r="T875" s="3"/>
    </row>
    <row r="876" spans="20:20" x14ac:dyDescent="0.25">
      <c r="T876" s="3"/>
    </row>
    <row r="877" spans="20:20" x14ac:dyDescent="0.25">
      <c r="T877" s="3"/>
    </row>
    <row r="878" spans="20:20" x14ac:dyDescent="0.25">
      <c r="T878" s="3"/>
    </row>
    <row r="879" spans="20:20" x14ac:dyDescent="0.25">
      <c r="T879" s="3"/>
    </row>
    <row r="880" spans="20:20" x14ac:dyDescent="0.25">
      <c r="T880" s="3"/>
    </row>
    <row r="881" spans="20:20" x14ac:dyDescent="0.25">
      <c r="T881" s="3"/>
    </row>
    <row r="882" spans="20:20" x14ac:dyDescent="0.25">
      <c r="T882" s="3"/>
    </row>
    <row r="883" spans="20:20" x14ac:dyDescent="0.25">
      <c r="T883" s="3"/>
    </row>
    <row r="884" spans="20:20" x14ac:dyDescent="0.25">
      <c r="T884" s="3"/>
    </row>
    <row r="885" spans="20:20" x14ac:dyDescent="0.25">
      <c r="T885" s="3"/>
    </row>
    <row r="886" spans="20:20" x14ac:dyDescent="0.25">
      <c r="T886" s="3"/>
    </row>
    <row r="887" spans="20:20" x14ac:dyDescent="0.25">
      <c r="T887" s="3"/>
    </row>
    <row r="888" spans="20:20" x14ac:dyDescent="0.25">
      <c r="T888" s="3"/>
    </row>
    <row r="889" spans="20:20" x14ac:dyDescent="0.25">
      <c r="T889" s="3"/>
    </row>
    <row r="890" spans="20:20" x14ac:dyDescent="0.25">
      <c r="T890" s="3"/>
    </row>
    <row r="891" spans="20:20" x14ac:dyDescent="0.25">
      <c r="T891" s="3"/>
    </row>
    <row r="892" spans="20:20" x14ac:dyDescent="0.25">
      <c r="T892" s="3"/>
    </row>
    <row r="893" spans="20:20" x14ac:dyDescent="0.25">
      <c r="T893" s="3"/>
    </row>
    <row r="894" spans="20:20" x14ac:dyDescent="0.25">
      <c r="T894" s="3"/>
    </row>
    <row r="895" spans="20:20" x14ac:dyDescent="0.25">
      <c r="T895" s="3"/>
    </row>
    <row r="896" spans="20:20" x14ac:dyDescent="0.25">
      <c r="T896" s="3"/>
    </row>
    <row r="897" spans="20:20" x14ac:dyDescent="0.25">
      <c r="T897" s="3"/>
    </row>
    <row r="898" spans="20:20" x14ac:dyDescent="0.25">
      <c r="T898" s="3"/>
    </row>
    <row r="899" spans="20:20" x14ac:dyDescent="0.25">
      <c r="T899" s="3"/>
    </row>
    <row r="900" spans="20:20" x14ac:dyDescent="0.25">
      <c r="T900" s="3"/>
    </row>
    <row r="901" spans="20:20" x14ac:dyDescent="0.25">
      <c r="T901" s="3"/>
    </row>
    <row r="902" spans="20:20" x14ac:dyDescent="0.25">
      <c r="T902" s="3"/>
    </row>
    <row r="903" spans="20:20" x14ac:dyDescent="0.25">
      <c r="T903" s="3"/>
    </row>
    <row r="904" spans="20:20" x14ac:dyDescent="0.25">
      <c r="T904" s="3"/>
    </row>
    <row r="905" spans="20:20" x14ac:dyDescent="0.25">
      <c r="T905" s="3"/>
    </row>
    <row r="906" spans="20:20" x14ac:dyDescent="0.25">
      <c r="T906" s="3"/>
    </row>
    <row r="907" spans="20:20" x14ac:dyDescent="0.25">
      <c r="T907" s="3"/>
    </row>
    <row r="908" spans="20:20" x14ac:dyDescent="0.25">
      <c r="T908" s="3"/>
    </row>
    <row r="909" spans="20:20" x14ac:dyDescent="0.25">
      <c r="T909" s="3"/>
    </row>
    <row r="910" spans="20:20" x14ac:dyDescent="0.25">
      <c r="T910" s="3"/>
    </row>
    <row r="911" spans="20:20" x14ac:dyDescent="0.25">
      <c r="T911" s="3"/>
    </row>
    <row r="912" spans="20:20" x14ac:dyDescent="0.25">
      <c r="T912" s="3"/>
    </row>
    <row r="913" spans="20:20" x14ac:dyDescent="0.25">
      <c r="T913" s="3"/>
    </row>
    <row r="914" spans="20:20" x14ac:dyDescent="0.25">
      <c r="T914" s="3"/>
    </row>
    <row r="915" spans="20:20" x14ac:dyDescent="0.25">
      <c r="T915" s="3"/>
    </row>
    <row r="916" spans="20:20" x14ac:dyDescent="0.25">
      <c r="T916" s="3"/>
    </row>
    <row r="917" spans="20:20" x14ac:dyDescent="0.25">
      <c r="T917" s="3"/>
    </row>
    <row r="918" spans="20:20" x14ac:dyDescent="0.25">
      <c r="T918" s="3"/>
    </row>
    <row r="919" spans="20:20" x14ac:dyDescent="0.25">
      <c r="T919" s="3"/>
    </row>
    <row r="920" spans="20:20" x14ac:dyDescent="0.25">
      <c r="T920" s="3"/>
    </row>
    <row r="921" spans="20:20" x14ac:dyDescent="0.25">
      <c r="T921" s="3"/>
    </row>
    <row r="922" spans="20:20" x14ac:dyDescent="0.25">
      <c r="T922" s="3"/>
    </row>
    <row r="923" spans="20:20" x14ac:dyDescent="0.25">
      <c r="T923" s="3"/>
    </row>
    <row r="924" spans="20:20" x14ac:dyDescent="0.25">
      <c r="T924" s="3"/>
    </row>
    <row r="925" spans="20:20" x14ac:dyDescent="0.25">
      <c r="T925" s="3"/>
    </row>
    <row r="926" spans="20:20" x14ac:dyDescent="0.25">
      <c r="T926" s="3"/>
    </row>
    <row r="927" spans="20:20" x14ac:dyDescent="0.25">
      <c r="T927" s="3"/>
    </row>
    <row r="928" spans="20:20" x14ac:dyDescent="0.25">
      <c r="T928" s="3"/>
    </row>
    <row r="929" spans="20:20" x14ac:dyDescent="0.25">
      <c r="T929" s="3"/>
    </row>
    <row r="930" spans="20:20" x14ac:dyDescent="0.25">
      <c r="T930" s="3"/>
    </row>
    <row r="931" spans="20:20" x14ac:dyDescent="0.25">
      <c r="T931" s="3"/>
    </row>
    <row r="932" spans="20:20" x14ac:dyDescent="0.25">
      <c r="T932" s="3"/>
    </row>
    <row r="933" spans="20:20" x14ac:dyDescent="0.25">
      <c r="T933" s="3"/>
    </row>
    <row r="934" spans="20:20" x14ac:dyDescent="0.25">
      <c r="T934" s="3"/>
    </row>
    <row r="935" spans="20:20" x14ac:dyDescent="0.25">
      <c r="T935" s="3"/>
    </row>
    <row r="936" spans="20:20" x14ac:dyDescent="0.25">
      <c r="T936" s="3"/>
    </row>
    <row r="937" spans="20:20" x14ac:dyDescent="0.25">
      <c r="T937" s="3"/>
    </row>
    <row r="938" spans="20:20" x14ac:dyDescent="0.25">
      <c r="T938" s="3"/>
    </row>
    <row r="939" spans="20:20" x14ac:dyDescent="0.25">
      <c r="T939" s="3"/>
    </row>
    <row r="940" spans="20:20" x14ac:dyDescent="0.25">
      <c r="T940" s="3"/>
    </row>
    <row r="941" spans="20:20" x14ac:dyDescent="0.25">
      <c r="T941" s="3"/>
    </row>
    <row r="942" spans="20:20" x14ac:dyDescent="0.25">
      <c r="T942" s="3"/>
    </row>
    <row r="943" spans="20:20" x14ac:dyDescent="0.25">
      <c r="T943" s="3"/>
    </row>
    <row r="944" spans="20:20" x14ac:dyDescent="0.25">
      <c r="T944" s="3"/>
    </row>
    <row r="945" spans="20:20" x14ac:dyDescent="0.25">
      <c r="T945" s="3"/>
    </row>
    <row r="946" spans="20:20" x14ac:dyDescent="0.25">
      <c r="T946" s="3"/>
    </row>
    <row r="947" spans="20:20" x14ac:dyDescent="0.25">
      <c r="T947" s="3"/>
    </row>
    <row r="948" spans="20:20" x14ac:dyDescent="0.25">
      <c r="T948" s="3"/>
    </row>
    <row r="949" spans="20:20" x14ac:dyDescent="0.25">
      <c r="T949" s="3"/>
    </row>
    <row r="950" spans="20:20" x14ac:dyDescent="0.25">
      <c r="T950" s="3"/>
    </row>
    <row r="951" spans="20:20" x14ac:dyDescent="0.25">
      <c r="T951" s="3"/>
    </row>
    <row r="952" spans="20:20" x14ac:dyDescent="0.25">
      <c r="T952" s="3"/>
    </row>
    <row r="953" spans="20:20" x14ac:dyDescent="0.25">
      <c r="T953" s="3"/>
    </row>
    <row r="954" spans="20:20" x14ac:dyDescent="0.25">
      <c r="T954" s="3"/>
    </row>
    <row r="955" spans="20:20" x14ac:dyDescent="0.25">
      <c r="T955" s="3"/>
    </row>
    <row r="956" spans="20:20" x14ac:dyDescent="0.25">
      <c r="T956" s="3"/>
    </row>
    <row r="957" spans="20:20" x14ac:dyDescent="0.25">
      <c r="T957" s="3"/>
    </row>
    <row r="958" spans="20:20" x14ac:dyDescent="0.25">
      <c r="T958" s="3"/>
    </row>
    <row r="959" spans="20:20" x14ac:dyDescent="0.25">
      <c r="T959" s="3"/>
    </row>
    <row r="960" spans="20:20" x14ac:dyDescent="0.25">
      <c r="T960" s="3"/>
    </row>
    <row r="961" spans="20:20" x14ac:dyDescent="0.25">
      <c r="T961" s="3"/>
    </row>
    <row r="962" spans="20:20" x14ac:dyDescent="0.25">
      <c r="T962" s="3"/>
    </row>
    <row r="963" spans="20:20" x14ac:dyDescent="0.25">
      <c r="T963" s="3"/>
    </row>
    <row r="964" spans="20:20" x14ac:dyDescent="0.25">
      <c r="T964" s="3"/>
    </row>
    <row r="965" spans="20:20" x14ac:dyDescent="0.25">
      <c r="T965" s="3"/>
    </row>
    <row r="966" spans="20:20" x14ac:dyDescent="0.25">
      <c r="T966" s="3"/>
    </row>
    <row r="967" spans="20:20" x14ac:dyDescent="0.25">
      <c r="T967" s="3"/>
    </row>
    <row r="968" spans="20:20" x14ac:dyDescent="0.25">
      <c r="T968" s="3"/>
    </row>
    <row r="969" spans="20:20" x14ac:dyDescent="0.25">
      <c r="T969" s="3"/>
    </row>
    <row r="970" spans="20:20" x14ac:dyDescent="0.25">
      <c r="T970" s="3"/>
    </row>
    <row r="971" spans="20:20" x14ac:dyDescent="0.25">
      <c r="T971" s="3"/>
    </row>
    <row r="972" spans="20:20" x14ac:dyDescent="0.25">
      <c r="T972" s="3"/>
    </row>
    <row r="973" spans="20:20" x14ac:dyDescent="0.25">
      <c r="T973" s="3"/>
    </row>
    <row r="974" spans="20:20" x14ac:dyDescent="0.25">
      <c r="T974" s="3"/>
    </row>
    <row r="975" spans="20:20" x14ac:dyDescent="0.25">
      <c r="T975" s="3"/>
    </row>
    <row r="976" spans="20:20" x14ac:dyDescent="0.25">
      <c r="T976" s="3"/>
    </row>
    <row r="977" spans="20:20" x14ac:dyDescent="0.25">
      <c r="T977" s="3"/>
    </row>
    <row r="978" spans="20:20" x14ac:dyDescent="0.25">
      <c r="T978" s="3"/>
    </row>
    <row r="979" spans="20:20" x14ac:dyDescent="0.25">
      <c r="T979" s="3"/>
    </row>
    <row r="980" spans="20:20" x14ac:dyDescent="0.25">
      <c r="T980" s="3"/>
    </row>
    <row r="981" spans="20:20" x14ac:dyDescent="0.25">
      <c r="T981" s="3"/>
    </row>
    <row r="982" spans="20:20" x14ac:dyDescent="0.25">
      <c r="T982" s="3"/>
    </row>
    <row r="983" spans="20:20" x14ac:dyDescent="0.25">
      <c r="T983" s="3"/>
    </row>
    <row r="984" spans="20:20" x14ac:dyDescent="0.25">
      <c r="T984" s="3"/>
    </row>
    <row r="985" spans="20:20" x14ac:dyDescent="0.25">
      <c r="T985" s="3"/>
    </row>
    <row r="986" spans="20:20" x14ac:dyDescent="0.25">
      <c r="T986" s="3"/>
    </row>
    <row r="987" spans="20:20" x14ac:dyDescent="0.25">
      <c r="T987" s="3"/>
    </row>
    <row r="988" spans="20:20" x14ac:dyDescent="0.25">
      <c r="T988" s="3"/>
    </row>
    <row r="989" spans="20:20" x14ac:dyDescent="0.25">
      <c r="T989" s="3"/>
    </row>
    <row r="990" spans="20:20" x14ac:dyDescent="0.25">
      <c r="T990" s="3"/>
    </row>
    <row r="991" spans="20:20" x14ac:dyDescent="0.25">
      <c r="T991" s="3"/>
    </row>
    <row r="992" spans="20:20" x14ac:dyDescent="0.25">
      <c r="T992" s="3"/>
    </row>
    <row r="993" spans="20:20" x14ac:dyDescent="0.25">
      <c r="T993" s="3"/>
    </row>
    <row r="994" spans="20:20" x14ac:dyDescent="0.25">
      <c r="T994" s="3"/>
    </row>
    <row r="995" spans="20:20" x14ac:dyDescent="0.25">
      <c r="T995" s="3"/>
    </row>
    <row r="996" spans="20:20" x14ac:dyDescent="0.25">
      <c r="T996" s="3"/>
    </row>
    <row r="997" spans="20:20" x14ac:dyDescent="0.25">
      <c r="T997" s="3"/>
    </row>
    <row r="998" spans="20:20" x14ac:dyDescent="0.25">
      <c r="T998" s="3"/>
    </row>
    <row r="999" spans="20:20" x14ac:dyDescent="0.25">
      <c r="T999" s="3"/>
    </row>
    <row r="1000" spans="20:20" x14ac:dyDescent="0.25">
      <c r="T1000" s="3"/>
    </row>
    <row r="1001" spans="20:20" x14ac:dyDescent="0.25">
      <c r="T1001" s="3"/>
    </row>
    <row r="1002" spans="20:20" x14ac:dyDescent="0.25">
      <c r="T1002" s="3"/>
    </row>
    <row r="1003" spans="20:20" x14ac:dyDescent="0.25">
      <c r="T1003" s="3"/>
    </row>
    <row r="1004" spans="20:20" x14ac:dyDescent="0.25">
      <c r="T1004" s="3"/>
    </row>
    <row r="1005" spans="20:20" x14ac:dyDescent="0.25">
      <c r="T1005" s="3"/>
    </row>
    <row r="1006" spans="20:20" x14ac:dyDescent="0.25">
      <c r="T1006" s="3"/>
    </row>
    <row r="1007" spans="20:20" x14ac:dyDescent="0.25">
      <c r="T1007" s="3"/>
    </row>
    <row r="1008" spans="20:20" x14ac:dyDescent="0.25">
      <c r="T1008" s="3"/>
    </row>
    <row r="1009" spans="20:20" x14ac:dyDescent="0.25">
      <c r="T1009" s="3"/>
    </row>
    <row r="1010" spans="20:20" x14ac:dyDescent="0.25">
      <c r="T1010" s="3"/>
    </row>
    <row r="1011" spans="20:20" x14ac:dyDescent="0.25">
      <c r="T1011" s="3"/>
    </row>
    <row r="1012" spans="20:20" x14ac:dyDescent="0.25">
      <c r="T1012" s="3"/>
    </row>
    <row r="1013" spans="20:20" x14ac:dyDescent="0.25">
      <c r="T1013" s="3"/>
    </row>
    <row r="1014" spans="20:20" x14ac:dyDescent="0.25">
      <c r="T1014" s="3"/>
    </row>
    <row r="1015" spans="20:20" x14ac:dyDescent="0.25">
      <c r="T1015" s="3"/>
    </row>
    <row r="1016" spans="20:20" x14ac:dyDescent="0.25">
      <c r="T1016" s="3"/>
    </row>
    <row r="1017" spans="20:20" x14ac:dyDescent="0.25">
      <c r="T1017" s="3"/>
    </row>
    <row r="1018" spans="20:20" x14ac:dyDescent="0.25">
      <c r="T1018" s="3"/>
    </row>
    <row r="1019" spans="20:20" x14ac:dyDescent="0.25">
      <c r="T1019" s="3"/>
    </row>
    <row r="1020" spans="20:20" x14ac:dyDescent="0.25">
      <c r="T1020" s="3"/>
    </row>
    <row r="1021" spans="20:20" x14ac:dyDescent="0.25">
      <c r="T1021" s="3"/>
    </row>
    <row r="1022" spans="20:20" x14ac:dyDescent="0.25">
      <c r="T1022" s="3"/>
    </row>
    <row r="1023" spans="20:20" x14ac:dyDescent="0.25">
      <c r="T1023" s="3"/>
    </row>
    <row r="1024" spans="20:20" x14ac:dyDescent="0.25">
      <c r="T1024" s="3"/>
    </row>
    <row r="1025" spans="20:20" x14ac:dyDescent="0.25">
      <c r="T1025" s="3"/>
    </row>
    <row r="1026" spans="20:20" x14ac:dyDescent="0.25">
      <c r="T1026" s="3"/>
    </row>
    <row r="1027" spans="20:20" x14ac:dyDescent="0.25">
      <c r="T1027" s="3"/>
    </row>
    <row r="1028" spans="20:20" x14ac:dyDescent="0.25">
      <c r="T1028" s="3"/>
    </row>
    <row r="1029" spans="20:20" x14ac:dyDescent="0.25">
      <c r="T1029" s="3"/>
    </row>
    <row r="1030" spans="20:20" x14ac:dyDescent="0.25">
      <c r="T1030" s="3"/>
    </row>
    <row r="1031" spans="20:20" x14ac:dyDescent="0.25">
      <c r="T1031" s="3"/>
    </row>
    <row r="1032" spans="20:20" x14ac:dyDescent="0.25">
      <c r="T1032" s="3"/>
    </row>
    <row r="1033" spans="20:20" x14ac:dyDescent="0.25">
      <c r="T1033" s="3"/>
    </row>
    <row r="1034" spans="20:20" x14ac:dyDescent="0.25">
      <c r="T1034" s="3"/>
    </row>
    <row r="1035" spans="20:20" x14ac:dyDescent="0.25">
      <c r="T1035" s="3"/>
    </row>
    <row r="1036" spans="20:20" x14ac:dyDescent="0.25">
      <c r="T1036" s="3"/>
    </row>
    <row r="1037" spans="20:20" x14ac:dyDescent="0.25">
      <c r="T1037" s="3"/>
    </row>
    <row r="1038" spans="20:20" x14ac:dyDescent="0.25">
      <c r="T1038" s="3"/>
    </row>
    <row r="1039" spans="20:20" x14ac:dyDescent="0.25">
      <c r="T1039" s="3"/>
    </row>
    <row r="1040" spans="20:20" x14ac:dyDescent="0.25">
      <c r="T1040" s="3"/>
    </row>
    <row r="1041" spans="20:20" x14ac:dyDescent="0.25">
      <c r="T1041" s="3"/>
    </row>
    <row r="1042" spans="20:20" x14ac:dyDescent="0.25">
      <c r="T1042" s="3"/>
    </row>
    <row r="1043" spans="20:20" x14ac:dyDescent="0.25">
      <c r="T1043" s="3"/>
    </row>
    <row r="1044" spans="20:20" x14ac:dyDescent="0.25">
      <c r="T1044" s="3"/>
    </row>
    <row r="1045" spans="20:20" x14ac:dyDescent="0.25">
      <c r="T1045" s="3"/>
    </row>
    <row r="1046" spans="20:20" x14ac:dyDescent="0.25">
      <c r="T1046" s="3"/>
    </row>
    <row r="1047" spans="20:20" x14ac:dyDescent="0.25">
      <c r="T1047" s="3"/>
    </row>
    <row r="1048" spans="20:20" x14ac:dyDescent="0.25">
      <c r="T1048" s="3"/>
    </row>
    <row r="1049" spans="20:20" x14ac:dyDescent="0.25">
      <c r="T1049" s="3"/>
    </row>
    <row r="1050" spans="20:20" x14ac:dyDescent="0.25">
      <c r="T1050" s="3"/>
    </row>
    <row r="1051" spans="20:20" x14ac:dyDescent="0.25">
      <c r="T1051" s="3"/>
    </row>
    <row r="1052" spans="20:20" x14ac:dyDescent="0.25">
      <c r="T1052" s="3"/>
    </row>
    <row r="1053" spans="20:20" x14ac:dyDescent="0.25">
      <c r="T1053" s="3"/>
    </row>
    <row r="1054" spans="20:20" x14ac:dyDescent="0.25">
      <c r="T1054" s="3"/>
    </row>
    <row r="1055" spans="20:20" x14ac:dyDescent="0.25">
      <c r="T1055" s="3"/>
    </row>
    <row r="1056" spans="20:20" x14ac:dyDescent="0.25">
      <c r="T1056" s="3"/>
    </row>
    <row r="1057" spans="20:20" x14ac:dyDescent="0.25">
      <c r="T1057" s="3"/>
    </row>
    <row r="1058" spans="20:20" x14ac:dyDescent="0.25">
      <c r="T1058" s="3"/>
    </row>
    <row r="1059" spans="20:20" x14ac:dyDescent="0.25">
      <c r="T1059" s="3"/>
    </row>
    <row r="1060" spans="20:20" x14ac:dyDescent="0.25">
      <c r="T1060" s="3"/>
    </row>
    <row r="1061" spans="20:20" x14ac:dyDescent="0.25">
      <c r="T1061" s="3"/>
    </row>
    <row r="1062" spans="20:20" x14ac:dyDescent="0.25">
      <c r="T1062" s="3"/>
    </row>
    <row r="1063" spans="20:20" x14ac:dyDescent="0.25">
      <c r="T1063" s="3"/>
    </row>
    <row r="1064" spans="20:20" x14ac:dyDescent="0.25">
      <c r="T1064" s="3"/>
    </row>
    <row r="1065" spans="20:20" x14ac:dyDescent="0.25">
      <c r="T1065" s="3"/>
    </row>
    <row r="1066" spans="20:20" x14ac:dyDescent="0.25">
      <c r="T1066" s="3"/>
    </row>
  </sheetData>
  <autoFilter ref="A2:R108" xr:uid="{F2F7F842-B297-274F-9817-9121333C5820}">
    <sortState xmlns:xlrd2="http://schemas.microsoft.com/office/spreadsheetml/2017/richdata2" ref="A13:R13">
      <sortCondition ref="H2:H108"/>
    </sortState>
  </autoFilter>
  <mergeCells count="1">
    <mergeCell ref="A1:R1"/>
  </mergeCells>
  <conditionalFormatting sqref="A109:A1048576 A1:A86">
    <cfRule type="duplicateValues" dxfId="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F5A4-1906-F547-824C-15A54B3B561B}">
  <dimension ref="A1:V80"/>
  <sheetViews>
    <sheetView tabSelected="1" zoomScaleNormal="100" workbookViewId="0">
      <pane xSplit="1" ySplit="2" topLeftCell="B3" activePane="bottomRight" state="frozen"/>
      <selection pane="topRight" activeCell="B1" sqref="B1"/>
      <selection pane="bottomLeft" activeCell="A3" sqref="A3"/>
      <selection pane="bottomRight" activeCell="A19" sqref="A19:XFD19"/>
    </sheetView>
  </sheetViews>
  <sheetFormatPr defaultColWidth="11" defaultRowHeight="15.75" x14ac:dyDescent="0.25"/>
  <cols>
    <col min="2" max="2" width="16.625" bestFit="1" customWidth="1"/>
    <col min="4" max="4" width="13.375" bestFit="1" customWidth="1"/>
    <col min="5" max="5" width="20.125" bestFit="1" customWidth="1"/>
    <col min="7" max="7" width="14.875" bestFit="1" customWidth="1"/>
    <col min="8" max="8" width="12" bestFit="1" customWidth="1"/>
    <col min="11" max="11" width="13.625" bestFit="1" customWidth="1"/>
    <col min="12" max="12" width="13.375" bestFit="1" customWidth="1"/>
    <col min="13" max="13" width="17.625" bestFit="1" customWidth="1"/>
    <col min="15" max="15" width="13.125" bestFit="1" customWidth="1"/>
    <col min="16" max="16" width="13.5" bestFit="1" customWidth="1"/>
    <col min="17" max="17" width="14" bestFit="1" customWidth="1"/>
  </cols>
  <sheetData>
    <row r="1" spans="1:22" ht="21.75" thickBot="1" x14ac:dyDescent="0.4">
      <c r="A1" s="32" t="s">
        <v>514</v>
      </c>
      <c r="B1" s="33"/>
      <c r="C1" s="33"/>
      <c r="D1" s="33"/>
      <c r="E1" s="33"/>
      <c r="F1" s="33"/>
      <c r="G1" s="33"/>
      <c r="H1" s="33"/>
      <c r="I1" s="33"/>
      <c r="J1" s="33"/>
      <c r="K1" s="33"/>
      <c r="L1" s="33"/>
      <c r="M1" s="33"/>
      <c r="N1" s="33"/>
      <c r="O1" s="33"/>
      <c r="P1" s="33"/>
      <c r="Q1" s="33"/>
    </row>
    <row r="2" spans="1:22" ht="16.5" thickBot="1"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22" s="12" customFormat="1" ht="15.95" customHeight="1" thickBot="1" x14ac:dyDescent="0.3">
      <c r="A3" s="24">
        <v>6112</v>
      </c>
      <c r="B3" s="15" t="s">
        <v>17</v>
      </c>
      <c r="C3" s="20">
        <v>6.3</v>
      </c>
      <c r="D3" s="20"/>
      <c r="E3" s="20">
        <v>0</v>
      </c>
      <c r="F3" s="20" t="s">
        <v>26</v>
      </c>
      <c r="G3" s="20" t="s">
        <v>54</v>
      </c>
      <c r="H3" s="20">
        <v>5.1100000000000003</v>
      </c>
      <c r="I3" s="20">
        <v>5.6</v>
      </c>
      <c r="J3" s="20">
        <v>18.399999999999999</v>
      </c>
      <c r="K3" s="21" t="s">
        <v>57</v>
      </c>
      <c r="L3" s="21" t="s">
        <v>58</v>
      </c>
      <c r="M3" s="21" t="s">
        <v>59</v>
      </c>
      <c r="N3" s="21" t="s">
        <v>60</v>
      </c>
      <c r="O3" s="21" t="s">
        <v>61</v>
      </c>
      <c r="P3" s="20" t="s">
        <v>32</v>
      </c>
      <c r="Q3" s="20" t="s">
        <v>25</v>
      </c>
    </row>
    <row r="4" spans="1:22" s="12" customFormat="1" ht="16.5" thickBot="1" x14ac:dyDescent="0.3">
      <c r="A4" s="24">
        <v>6117</v>
      </c>
      <c r="B4" s="22" t="s">
        <v>17</v>
      </c>
      <c r="C4" s="16">
        <v>0.33</v>
      </c>
      <c r="D4" s="16"/>
      <c r="E4" s="16">
        <v>0</v>
      </c>
      <c r="F4" s="16" t="s">
        <v>18</v>
      </c>
      <c r="G4" s="16" t="s">
        <v>19</v>
      </c>
      <c r="H4" s="16">
        <v>3.27</v>
      </c>
      <c r="I4" s="16" t="s">
        <v>55</v>
      </c>
      <c r="J4" s="16">
        <v>18.399999999999999</v>
      </c>
      <c r="K4" s="17" t="s">
        <v>62</v>
      </c>
      <c r="L4" s="17" t="s">
        <v>63</v>
      </c>
      <c r="M4" s="17"/>
      <c r="N4" s="17" t="s">
        <v>64</v>
      </c>
      <c r="O4" s="17" t="s">
        <v>65</v>
      </c>
      <c r="P4" s="16" t="s">
        <v>32</v>
      </c>
      <c r="Q4" s="16" t="s">
        <v>25</v>
      </c>
    </row>
    <row r="5" spans="1:22" s="12" customFormat="1" ht="16.5" thickBot="1" x14ac:dyDescent="0.3">
      <c r="A5" s="24">
        <v>6122</v>
      </c>
      <c r="B5" s="22" t="s">
        <v>17</v>
      </c>
      <c r="C5" s="16">
        <v>0.42</v>
      </c>
      <c r="D5" s="16"/>
      <c r="E5" s="16">
        <v>0</v>
      </c>
      <c r="F5" s="16" t="s">
        <v>26</v>
      </c>
      <c r="G5" s="16" t="s">
        <v>66</v>
      </c>
      <c r="H5" s="16">
        <v>0.34</v>
      </c>
      <c r="I5" s="16" t="s">
        <v>55</v>
      </c>
      <c r="J5" s="16">
        <v>13.8</v>
      </c>
      <c r="K5" s="17" t="s">
        <v>67</v>
      </c>
      <c r="L5" s="17" t="s">
        <v>68</v>
      </c>
      <c r="M5" s="17" t="s">
        <v>69</v>
      </c>
      <c r="N5" s="17" t="s">
        <v>70</v>
      </c>
      <c r="O5" s="17" t="s">
        <v>71</v>
      </c>
      <c r="P5" s="16" t="s">
        <v>32</v>
      </c>
      <c r="Q5" s="16" t="s">
        <v>25</v>
      </c>
    </row>
    <row r="6" spans="1:22" s="12" customFormat="1" ht="15.95" customHeight="1" thickBot="1" x14ac:dyDescent="0.3">
      <c r="A6" s="24">
        <v>6162</v>
      </c>
      <c r="B6" s="22" t="s">
        <v>17</v>
      </c>
      <c r="C6" s="16">
        <v>22.7</v>
      </c>
      <c r="D6" s="16"/>
      <c r="E6" s="16">
        <v>0</v>
      </c>
      <c r="F6" s="16" t="s">
        <v>18</v>
      </c>
      <c r="G6" s="16" t="s">
        <v>33</v>
      </c>
      <c r="H6" s="16">
        <v>7.61</v>
      </c>
      <c r="I6" s="16" t="s">
        <v>55</v>
      </c>
      <c r="J6" s="16">
        <v>28.9</v>
      </c>
      <c r="K6" s="17" t="s">
        <v>147</v>
      </c>
      <c r="L6" s="17" t="s">
        <v>148</v>
      </c>
      <c r="M6" s="17"/>
      <c r="N6" s="18" t="s">
        <v>149</v>
      </c>
      <c r="O6" s="17" t="s">
        <v>150</v>
      </c>
      <c r="P6" s="16" t="s">
        <v>32</v>
      </c>
      <c r="Q6" s="16" t="s">
        <v>25</v>
      </c>
    </row>
    <row r="7" spans="1:22" s="12" customFormat="1" ht="15.95" customHeight="1" thickBot="1" x14ac:dyDescent="0.3">
      <c r="A7" s="24">
        <v>6178</v>
      </c>
      <c r="B7" s="22" t="s">
        <v>17</v>
      </c>
      <c r="C7" s="16">
        <v>24.5</v>
      </c>
      <c r="D7" s="16"/>
      <c r="E7" s="16">
        <v>0</v>
      </c>
      <c r="F7" s="16" t="s">
        <v>26</v>
      </c>
      <c r="G7" s="16" t="s">
        <v>19</v>
      </c>
      <c r="H7" s="16">
        <v>4.55</v>
      </c>
      <c r="I7" s="16">
        <v>5</v>
      </c>
      <c r="J7" s="16">
        <v>27.5</v>
      </c>
      <c r="K7" s="17" t="s">
        <v>151</v>
      </c>
      <c r="L7" s="17" t="s">
        <v>152</v>
      </c>
      <c r="M7" s="17"/>
      <c r="N7" s="17" t="s">
        <v>153</v>
      </c>
      <c r="O7" s="17" t="s">
        <v>154</v>
      </c>
      <c r="P7" s="16" t="s">
        <v>24</v>
      </c>
      <c r="Q7" s="16" t="s">
        <v>25</v>
      </c>
    </row>
    <row r="8" spans="1:22" s="12" customFormat="1" ht="16.5" thickBot="1" x14ac:dyDescent="0.3">
      <c r="A8" s="24">
        <v>6179</v>
      </c>
      <c r="B8" s="22" t="s">
        <v>17</v>
      </c>
      <c r="C8" s="16">
        <v>10</v>
      </c>
      <c r="D8" s="16"/>
      <c r="E8" s="16">
        <v>0</v>
      </c>
      <c r="F8" s="16" t="s">
        <v>26</v>
      </c>
      <c r="G8" s="16" t="s">
        <v>19</v>
      </c>
      <c r="H8" s="16">
        <v>2.74</v>
      </c>
      <c r="I8" s="16" t="s">
        <v>146</v>
      </c>
      <c r="J8" s="16">
        <v>20.7</v>
      </c>
      <c r="K8" s="17" t="s">
        <v>155</v>
      </c>
      <c r="L8" s="17" t="s">
        <v>156</v>
      </c>
      <c r="M8" s="17"/>
      <c r="N8" s="17" t="s">
        <v>157</v>
      </c>
      <c r="O8" s="17" t="s">
        <v>158</v>
      </c>
      <c r="P8" s="16" t="s">
        <v>32</v>
      </c>
      <c r="Q8" s="16" t="s">
        <v>25</v>
      </c>
    </row>
    <row r="9" spans="1:22" s="12" customFormat="1" ht="16.5" thickBot="1" x14ac:dyDescent="0.3">
      <c r="A9" s="24">
        <v>6234</v>
      </c>
      <c r="B9" s="22" t="s">
        <v>17</v>
      </c>
      <c r="C9" s="16">
        <v>20</v>
      </c>
      <c r="D9" s="16"/>
      <c r="E9" s="16">
        <v>0</v>
      </c>
      <c r="F9" s="16" t="s">
        <v>26</v>
      </c>
      <c r="G9" s="16" t="s">
        <v>19</v>
      </c>
      <c r="H9" s="16">
        <v>6.89</v>
      </c>
      <c r="I9" s="16">
        <v>5.8</v>
      </c>
      <c r="J9" s="16">
        <v>25.6</v>
      </c>
      <c r="K9" s="17" t="s">
        <v>159</v>
      </c>
      <c r="L9" s="17" t="s">
        <v>160</v>
      </c>
      <c r="M9" s="17"/>
      <c r="N9" s="17" t="s">
        <v>161</v>
      </c>
      <c r="O9" s="17" t="s">
        <v>162</v>
      </c>
      <c r="P9" s="16" t="s">
        <v>32</v>
      </c>
      <c r="Q9" s="16" t="s">
        <v>25</v>
      </c>
    </row>
    <row r="10" spans="1:22" s="12" customFormat="1" ht="16.5" thickBot="1" x14ac:dyDescent="0.3">
      <c r="A10" s="22">
        <v>6250</v>
      </c>
      <c r="B10" s="16" t="s">
        <v>17</v>
      </c>
      <c r="C10" s="16">
        <v>40</v>
      </c>
      <c r="D10" s="16"/>
      <c r="E10" s="16"/>
      <c r="F10" s="16" t="s">
        <v>18</v>
      </c>
      <c r="G10" s="16" t="s">
        <v>19</v>
      </c>
      <c r="H10" s="16">
        <v>7.31</v>
      </c>
      <c r="I10" s="16"/>
      <c r="J10" s="16">
        <v>27.9</v>
      </c>
      <c r="K10" s="17" t="s">
        <v>527</v>
      </c>
      <c r="L10" s="17" t="s">
        <v>528</v>
      </c>
      <c r="M10" s="17"/>
      <c r="N10" s="17" t="s">
        <v>529</v>
      </c>
      <c r="O10" s="17" t="s">
        <v>530</v>
      </c>
      <c r="P10" s="16" t="s">
        <v>32</v>
      </c>
      <c r="Q10" s="16" t="s">
        <v>25</v>
      </c>
    </row>
    <row r="11" spans="1:22" s="12" customFormat="1" ht="16.5" thickBot="1" x14ac:dyDescent="0.3">
      <c r="A11" s="24">
        <v>6294</v>
      </c>
      <c r="B11" s="22" t="s">
        <v>72</v>
      </c>
      <c r="C11" s="16">
        <v>1.5</v>
      </c>
      <c r="D11" s="16"/>
      <c r="E11" s="16">
        <v>0</v>
      </c>
      <c r="F11" s="16" t="s">
        <v>18</v>
      </c>
      <c r="G11" s="16" t="s">
        <v>523</v>
      </c>
      <c r="H11" s="16" t="s">
        <v>72</v>
      </c>
      <c r="I11" s="16" t="s">
        <v>55</v>
      </c>
      <c r="J11" s="16">
        <v>20.8</v>
      </c>
      <c r="K11" s="17" t="s">
        <v>73</v>
      </c>
      <c r="L11" s="17" t="s">
        <v>74</v>
      </c>
      <c r="M11" s="17"/>
      <c r="N11" s="17" t="s">
        <v>75</v>
      </c>
      <c r="O11" s="17" t="s">
        <v>76</v>
      </c>
      <c r="P11" s="16" t="s">
        <v>24</v>
      </c>
      <c r="Q11" s="16" t="s">
        <v>25</v>
      </c>
    </row>
    <row r="12" spans="1:22" s="12" customFormat="1" ht="16.5" thickBot="1" x14ac:dyDescent="0.3">
      <c r="A12" s="24">
        <v>6305</v>
      </c>
      <c r="B12" s="22" t="s">
        <v>17</v>
      </c>
      <c r="C12" s="16">
        <v>0.25</v>
      </c>
      <c r="D12" s="16"/>
      <c r="E12" s="16">
        <v>0</v>
      </c>
      <c r="F12" s="16" t="s">
        <v>18</v>
      </c>
      <c r="G12" s="16" t="s">
        <v>19</v>
      </c>
      <c r="H12" s="16">
        <v>6.18</v>
      </c>
      <c r="I12" s="16" t="s">
        <v>55</v>
      </c>
      <c r="J12" s="16">
        <v>20.8</v>
      </c>
      <c r="K12" s="17" t="s">
        <v>77</v>
      </c>
      <c r="L12" s="17" t="s">
        <v>78</v>
      </c>
      <c r="M12" s="17"/>
      <c r="N12" s="17" t="s">
        <v>79</v>
      </c>
      <c r="O12" s="17" t="s">
        <v>80</v>
      </c>
      <c r="P12" s="16" t="s">
        <v>24</v>
      </c>
      <c r="Q12" s="16" t="s">
        <v>25</v>
      </c>
    </row>
    <row r="13" spans="1:22" s="12" customFormat="1" ht="16.5" thickBot="1" x14ac:dyDescent="0.3">
      <c r="A13" s="24">
        <v>6309</v>
      </c>
      <c r="B13" s="22" t="s">
        <v>17</v>
      </c>
      <c r="C13" s="16">
        <v>0.3</v>
      </c>
      <c r="D13" s="16"/>
      <c r="E13" s="16">
        <v>0</v>
      </c>
      <c r="F13" s="16" t="s">
        <v>18</v>
      </c>
      <c r="G13" s="16" t="s">
        <v>33</v>
      </c>
      <c r="H13" s="16">
        <v>18.079999999999998</v>
      </c>
      <c r="I13" s="16" t="s">
        <v>55</v>
      </c>
      <c r="J13" s="16">
        <v>11.1</v>
      </c>
      <c r="K13" s="17" t="s">
        <v>81</v>
      </c>
      <c r="L13" s="17" t="s">
        <v>82</v>
      </c>
      <c r="M13" s="17"/>
      <c r="N13" s="17" t="s">
        <v>83</v>
      </c>
      <c r="O13" s="17" t="s">
        <v>84</v>
      </c>
      <c r="P13" s="16" t="s">
        <v>32</v>
      </c>
      <c r="Q13" s="16" t="s">
        <v>25</v>
      </c>
    </row>
    <row r="14" spans="1:22" s="12" customFormat="1" ht="16.5" thickBot="1" x14ac:dyDescent="0.3">
      <c r="A14" s="24">
        <v>6313</v>
      </c>
      <c r="B14" s="16" t="s">
        <v>17</v>
      </c>
      <c r="C14" s="16">
        <v>0.25</v>
      </c>
      <c r="E14" s="16">
        <v>0</v>
      </c>
      <c r="F14" s="16" t="s">
        <v>18</v>
      </c>
      <c r="G14" s="16" t="s">
        <v>19</v>
      </c>
      <c r="H14" s="16">
        <v>1.1299999999999999</v>
      </c>
      <c r="I14" s="16" t="s">
        <v>55</v>
      </c>
      <c r="J14" s="16">
        <v>15.5</v>
      </c>
      <c r="K14" s="17" t="s">
        <v>516</v>
      </c>
      <c r="L14" s="17" t="s">
        <v>515</v>
      </c>
      <c r="M14" s="17"/>
      <c r="N14" s="17" t="s">
        <v>517</v>
      </c>
      <c r="O14" s="17" t="s">
        <v>521</v>
      </c>
      <c r="P14" s="16" t="s">
        <v>24</v>
      </c>
      <c r="Q14" s="16" t="s">
        <v>25</v>
      </c>
      <c r="S14" s="3"/>
      <c r="V14" s="3"/>
    </row>
    <row r="15" spans="1:22" s="12" customFormat="1" ht="16.5" thickBot="1" x14ac:dyDescent="0.3">
      <c r="A15" s="22">
        <v>6348</v>
      </c>
      <c r="B15" s="16" t="s">
        <v>17</v>
      </c>
      <c r="C15" s="16">
        <v>0.03</v>
      </c>
      <c r="D15" s="16">
        <v>39</v>
      </c>
      <c r="E15" s="16">
        <v>0</v>
      </c>
      <c r="F15" s="16" t="s">
        <v>26</v>
      </c>
      <c r="G15" s="16" t="s">
        <v>33</v>
      </c>
      <c r="H15" s="16">
        <v>0.19</v>
      </c>
      <c r="I15" s="16" t="s">
        <v>55</v>
      </c>
      <c r="J15" s="16">
        <v>11.9</v>
      </c>
      <c r="K15" s="17" t="s">
        <v>524</v>
      </c>
      <c r="L15" s="17" t="s">
        <v>525</v>
      </c>
      <c r="M15" s="17"/>
      <c r="N15" s="31" t="s">
        <v>526</v>
      </c>
      <c r="O15" s="17"/>
      <c r="P15" s="16" t="s">
        <v>85</v>
      </c>
      <c r="Q15" s="16" t="s">
        <v>25</v>
      </c>
      <c r="R15" s="3"/>
    </row>
    <row r="16" spans="1:22" s="12" customFormat="1" ht="16.5" thickBot="1" x14ac:dyDescent="0.3">
      <c r="A16" s="24">
        <v>6356</v>
      </c>
      <c r="B16" s="22" t="s">
        <v>17</v>
      </c>
      <c r="C16" s="16">
        <v>1.58</v>
      </c>
      <c r="D16" s="16"/>
      <c r="E16" s="16">
        <v>0</v>
      </c>
      <c r="F16" s="16" t="s">
        <v>26</v>
      </c>
      <c r="G16" s="16" t="s">
        <v>19</v>
      </c>
      <c r="H16" s="16">
        <v>1.65</v>
      </c>
      <c r="I16" s="16">
        <v>5.3</v>
      </c>
      <c r="J16" s="16">
        <v>17.100000000000001</v>
      </c>
      <c r="K16" s="17" t="s">
        <v>86</v>
      </c>
      <c r="L16" s="17" t="s">
        <v>87</v>
      </c>
      <c r="M16" s="17"/>
      <c r="N16" s="17" t="s">
        <v>88</v>
      </c>
      <c r="O16" s="17" t="s">
        <v>89</v>
      </c>
      <c r="P16" s="16" t="s">
        <v>32</v>
      </c>
      <c r="Q16" s="16" t="s">
        <v>25</v>
      </c>
    </row>
    <row r="17" spans="1:17" s="12" customFormat="1" ht="16.5" thickBot="1" x14ac:dyDescent="0.3">
      <c r="A17" s="24">
        <v>6357</v>
      </c>
      <c r="B17" s="22" t="s">
        <v>17</v>
      </c>
      <c r="C17" s="16">
        <v>5</v>
      </c>
      <c r="D17" s="16"/>
      <c r="E17" s="16">
        <v>0</v>
      </c>
      <c r="F17" s="16" t="s">
        <v>18</v>
      </c>
      <c r="G17" s="16" t="s">
        <v>19</v>
      </c>
      <c r="H17" s="16">
        <v>8.82</v>
      </c>
      <c r="I17" s="16" t="s">
        <v>55</v>
      </c>
      <c r="J17" s="16">
        <v>15.3</v>
      </c>
      <c r="K17" s="17" t="s">
        <v>90</v>
      </c>
      <c r="L17" s="17" t="s">
        <v>91</v>
      </c>
      <c r="M17" s="17" t="s">
        <v>92</v>
      </c>
      <c r="N17" s="17" t="s">
        <v>93</v>
      </c>
      <c r="O17" s="17" t="s">
        <v>94</v>
      </c>
      <c r="P17" s="16" t="s">
        <v>32</v>
      </c>
      <c r="Q17" s="16" t="s">
        <v>25</v>
      </c>
    </row>
    <row r="18" spans="1:17" s="12" customFormat="1" ht="16.5" thickBot="1" x14ac:dyDescent="0.3">
      <c r="A18" s="24">
        <v>6366</v>
      </c>
      <c r="B18" s="22" t="s">
        <v>17</v>
      </c>
      <c r="C18" s="16">
        <v>21</v>
      </c>
      <c r="D18" s="16"/>
      <c r="E18" s="16">
        <v>0</v>
      </c>
      <c r="F18" s="16" t="s">
        <v>26</v>
      </c>
      <c r="G18" s="16" t="s">
        <v>54</v>
      </c>
      <c r="H18" s="16">
        <v>0.41</v>
      </c>
      <c r="I18" s="16">
        <v>6.3</v>
      </c>
      <c r="J18" s="16">
        <v>20.5</v>
      </c>
      <c r="K18" s="17" t="s">
        <v>95</v>
      </c>
      <c r="L18" s="17" t="s">
        <v>96</v>
      </c>
      <c r="M18" s="17"/>
      <c r="N18" s="17" t="s">
        <v>97</v>
      </c>
      <c r="O18" s="17" t="s">
        <v>98</v>
      </c>
      <c r="P18" s="16" t="s">
        <v>24</v>
      </c>
      <c r="Q18" s="16" t="s">
        <v>25</v>
      </c>
    </row>
    <row r="19" spans="1:17" s="12" customFormat="1" ht="16.5" thickBot="1" x14ac:dyDescent="0.3">
      <c r="A19" s="24">
        <v>6401</v>
      </c>
      <c r="B19" s="22" t="s">
        <v>17</v>
      </c>
      <c r="C19" s="16">
        <v>25.07</v>
      </c>
      <c r="D19" s="16"/>
      <c r="E19" s="16">
        <v>0</v>
      </c>
      <c r="F19" s="16" t="s">
        <v>26</v>
      </c>
      <c r="G19" s="16" t="s">
        <v>54</v>
      </c>
      <c r="H19" s="16">
        <v>12.81</v>
      </c>
      <c r="I19" s="16">
        <v>5.8</v>
      </c>
      <c r="J19" s="16">
        <v>31.3</v>
      </c>
      <c r="K19" s="17" t="s">
        <v>163</v>
      </c>
      <c r="L19" s="17" t="s">
        <v>164</v>
      </c>
      <c r="M19" s="17"/>
      <c r="N19" s="17" t="s">
        <v>165</v>
      </c>
      <c r="O19" s="17" t="s">
        <v>166</v>
      </c>
      <c r="P19" s="16" t="s">
        <v>32</v>
      </c>
      <c r="Q19" s="16" t="s">
        <v>25</v>
      </c>
    </row>
    <row r="20" spans="1:17" s="12" customFormat="1" ht="16.5" thickBot="1" x14ac:dyDescent="0.3">
      <c r="A20" s="24">
        <v>6412</v>
      </c>
      <c r="B20" s="22" t="s">
        <v>17</v>
      </c>
      <c r="C20" s="16">
        <v>17.579999999999998</v>
      </c>
      <c r="D20" s="16"/>
      <c r="E20" s="16">
        <v>0</v>
      </c>
      <c r="F20" s="16" t="s">
        <v>26</v>
      </c>
      <c r="G20" s="16" t="s">
        <v>19</v>
      </c>
      <c r="H20" s="16">
        <v>45.57</v>
      </c>
      <c r="I20" s="16">
        <v>6.1</v>
      </c>
      <c r="J20" s="16">
        <v>24</v>
      </c>
      <c r="K20" s="17" t="s">
        <v>167</v>
      </c>
      <c r="L20" s="17" t="s">
        <v>168</v>
      </c>
      <c r="M20" s="17" t="s">
        <v>169</v>
      </c>
      <c r="N20" s="17" t="s">
        <v>170</v>
      </c>
      <c r="O20" s="17" t="s">
        <v>171</v>
      </c>
      <c r="P20" s="16" t="s">
        <v>24</v>
      </c>
      <c r="Q20" s="16" t="s">
        <v>25</v>
      </c>
    </row>
    <row r="21" spans="1:17" s="12" customFormat="1" ht="17.100000000000001" customHeight="1" thickBot="1" x14ac:dyDescent="0.3">
      <c r="A21" s="24">
        <v>6413</v>
      </c>
      <c r="B21" s="22" t="s">
        <v>17</v>
      </c>
      <c r="C21" s="16">
        <v>10.1</v>
      </c>
      <c r="D21" s="16"/>
      <c r="E21" s="16">
        <v>0</v>
      </c>
      <c r="F21" s="16" t="s">
        <v>26</v>
      </c>
      <c r="G21" s="16" t="s">
        <v>19</v>
      </c>
      <c r="H21" s="16">
        <v>5.27</v>
      </c>
      <c r="I21" s="16">
        <v>5.6</v>
      </c>
      <c r="J21" s="16">
        <v>19</v>
      </c>
      <c r="K21" s="17" t="s">
        <v>172</v>
      </c>
      <c r="L21" s="17" t="s">
        <v>173</v>
      </c>
      <c r="M21" s="17"/>
      <c r="N21" s="17" t="s">
        <v>174</v>
      </c>
      <c r="O21" s="19" t="s">
        <v>175</v>
      </c>
      <c r="P21" s="16" t="s">
        <v>32</v>
      </c>
      <c r="Q21" s="16" t="s">
        <v>25</v>
      </c>
    </row>
    <row r="22" spans="1:17" s="12" customFormat="1" ht="16.5" thickBot="1" x14ac:dyDescent="0.3">
      <c r="A22" s="24">
        <v>6415</v>
      </c>
      <c r="B22" s="22" t="s">
        <v>17</v>
      </c>
      <c r="C22" s="16">
        <v>10.9</v>
      </c>
      <c r="D22" s="16"/>
      <c r="E22" s="16">
        <v>0</v>
      </c>
      <c r="F22" s="16" t="s">
        <v>18</v>
      </c>
      <c r="G22" s="16" t="s">
        <v>33</v>
      </c>
      <c r="H22" s="16">
        <v>3.55</v>
      </c>
      <c r="I22" s="16">
        <v>5.9</v>
      </c>
      <c r="J22" s="16">
        <v>14.8</v>
      </c>
      <c r="K22" s="17" t="s">
        <v>176</v>
      </c>
      <c r="L22" s="17" t="s">
        <v>177</v>
      </c>
      <c r="M22" s="17"/>
      <c r="N22" s="17" t="s">
        <v>178</v>
      </c>
      <c r="O22" s="17" t="s">
        <v>179</v>
      </c>
      <c r="P22" s="16" t="s">
        <v>24</v>
      </c>
      <c r="Q22" s="16" t="s">
        <v>25</v>
      </c>
    </row>
    <row r="23" spans="1:17" s="12" customFormat="1" ht="16.5" thickBot="1" x14ac:dyDescent="0.3">
      <c r="A23" s="24">
        <v>6416</v>
      </c>
      <c r="B23" s="22" t="s">
        <v>17</v>
      </c>
      <c r="C23" s="16">
        <v>12.08</v>
      </c>
      <c r="D23" s="16"/>
      <c r="E23" s="16">
        <v>0</v>
      </c>
      <c r="F23" s="16" t="s">
        <v>18</v>
      </c>
      <c r="G23" s="16" t="s">
        <v>19</v>
      </c>
      <c r="H23" s="16">
        <v>15.33</v>
      </c>
      <c r="I23" s="16">
        <v>5.4</v>
      </c>
      <c r="J23" s="16">
        <v>32.5</v>
      </c>
      <c r="K23" s="17" t="s">
        <v>180</v>
      </c>
      <c r="L23" s="17" t="s">
        <v>181</v>
      </c>
      <c r="M23" s="17"/>
      <c r="N23" s="17" t="s">
        <v>182</v>
      </c>
      <c r="O23" s="17" t="s">
        <v>183</v>
      </c>
      <c r="P23" s="16" t="s">
        <v>184</v>
      </c>
      <c r="Q23" s="16" t="s">
        <v>25</v>
      </c>
    </row>
    <row r="24" spans="1:17" s="12" customFormat="1" ht="16.5" thickBot="1" x14ac:dyDescent="0.3">
      <c r="A24" s="24">
        <v>6417</v>
      </c>
      <c r="B24" s="22" t="s">
        <v>17</v>
      </c>
      <c r="C24" s="16">
        <v>18.2</v>
      </c>
      <c r="D24" s="16"/>
      <c r="E24" s="16">
        <v>0</v>
      </c>
      <c r="F24" s="16" t="s">
        <v>26</v>
      </c>
      <c r="G24" s="16" t="s">
        <v>19</v>
      </c>
      <c r="H24" s="16">
        <v>3.94</v>
      </c>
      <c r="I24" s="16">
        <v>5.0999999999999996</v>
      </c>
      <c r="J24" s="16">
        <v>24.5</v>
      </c>
      <c r="K24" s="17" t="s">
        <v>185</v>
      </c>
      <c r="L24" s="17" t="s">
        <v>186</v>
      </c>
      <c r="M24" s="17" t="s">
        <v>187</v>
      </c>
      <c r="N24" s="17" t="s">
        <v>188</v>
      </c>
      <c r="O24" s="17" t="s">
        <v>189</v>
      </c>
      <c r="P24" s="16" t="s">
        <v>32</v>
      </c>
      <c r="Q24" s="16" t="s">
        <v>25</v>
      </c>
    </row>
    <row r="25" spans="1:17" s="12" customFormat="1" ht="15.95" customHeight="1" thickBot="1" x14ac:dyDescent="0.3">
      <c r="A25" s="24">
        <v>6420</v>
      </c>
      <c r="B25" s="22" t="s">
        <v>17</v>
      </c>
      <c r="C25" s="16">
        <v>11.5</v>
      </c>
      <c r="D25" s="16"/>
      <c r="E25" s="16">
        <v>0</v>
      </c>
      <c r="F25" s="16" t="s">
        <v>18</v>
      </c>
      <c r="G25" s="16" t="s">
        <v>19</v>
      </c>
      <c r="H25" s="16">
        <v>1.27</v>
      </c>
      <c r="I25" s="16">
        <v>5.2</v>
      </c>
      <c r="J25" s="16">
        <v>15.4</v>
      </c>
      <c r="K25" s="17" t="s">
        <v>190</v>
      </c>
      <c r="L25" s="17" t="s">
        <v>191</v>
      </c>
      <c r="M25" s="17"/>
      <c r="N25" s="17" t="s">
        <v>192</v>
      </c>
      <c r="O25" s="17" t="s">
        <v>193</v>
      </c>
      <c r="P25" s="16" t="s">
        <v>24</v>
      </c>
      <c r="Q25" s="16" t="s">
        <v>25</v>
      </c>
    </row>
    <row r="26" spans="1:17" s="12" customFormat="1" ht="16.5" thickBot="1" x14ac:dyDescent="0.3">
      <c r="A26" s="24">
        <v>6425</v>
      </c>
      <c r="B26" s="22" t="s">
        <v>17</v>
      </c>
      <c r="C26" s="16">
        <v>38.659999999999997</v>
      </c>
      <c r="D26" s="16"/>
      <c r="E26" s="16">
        <v>0</v>
      </c>
      <c r="F26" s="16" t="s">
        <v>26</v>
      </c>
      <c r="G26" s="16" t="s">
        <v>19</v>
      </c>
      <c r="H26" s="16">
        <v>8.06</v>
      </c>
      <c r="I26" s="16">
        <v>6</v>
      </c>
      <c r="J26" s="16">
        <v>28.28</v>
      </c>
      <c r="K26" s="17" t="s">
        <v>194</v>
      </c>
      <c r="L26" s="17" t="s">
        <v>195</v>
      </c>
      <c r="M26" s="17"/>
      <c r="N26" s="17" t="s">
        <v>196</v>
      </c>
      <c r="O26" s="17" t="s">
        <v>197</v>
      </c>
      <c r="P26" s="16" t="s">
        <v>24</v>
      </c>
      <c r="Q26" s="16" t="s">
        <v>25</v>
      </c>
    </row>
    <row r="27" spans="1:17" s="12" customFormat="1" ht="17.100000000000001" customHeight="1" thickBot="1" x14ac:dyDescent="0.3">
      <c r="A27" s="24">
        <v>6426</v>
      </c>
      <c r="B27" s="22" t="s">
        <v>17</v>
      </c>
      <c r="C27" s="16">
        <v>2.06</v>
      </c>
      <c r="D27" s="16"/>
      <c r="E27" s="16">
        <v>0</v>
      </c>
      <c r="F27" s="16" t="s">
        <v>18</v>
      </c>
      <c r="G27" s="16" t="s">
        <v>19</v>
      </c>
      <c r="H27" s="16">
        <v>12.25</v>
      </c>
      <c r="I27" s="16">
        <v>5</v>
      </c>
      <c r="J27" s="16">
        <v>20.100000000000001</v>
      </c>
      <c r="K27" s="17" t="s">
        <v>198</v>
      </c>
      <c r="L27" s="17" t="s">
        <v>199</v>
      </c>
      <c r="M27" s="17"/>
      <c r="N27" s="17" t="s">
        <v>200</v>
      </c>
      <c r="O27" s="17" t="s">
        <v>201</v>
      </c>
      <c r="P27" s="16" t="s">
        <v>24</v>
      </c>
      <c r="Q27" s="16" t="s">
        <v>25</v>
      </c>
    </row>
    <row r="28" spans="1:17" s="12" customFormat="1" ht="16.5" thickBot="1" x14ac:dyDescent="0.3">
      <c r="A28" s="24">
        <v>6427</v>
      </c>
      <c r="B28" s="22" t="s">
        <v>17</v>
      </c>
      <c r="C28" s="16">
        <v>10.3</v>
      </c>
      <c r="D28" s="16"/>
      <c r="E28" s="16">
        <v>0</v>
      </c>
      <c r="F28" s="16" t="s">
        <v>18</v>
      </c>
      <c r="G28" s="16" t="s">
        <v>19</v>
      </c>
      <c r="H28" s="16">
        <v>2.9</v>
      </c>
      <c r="I28" s="16">
        <v>6</v>
      </c>
      <c r="J28" s="16">
        <v>23.5</v>
      </c>
      <c r="K28" s="17" t="s">
        <v>202</v>
      </c>
      <c r="L28" s="17" t="s">
        <v>203</v>
      </c>
      <c r="M28" s="17" t="s">
        <v>204</v>
      </c>
      <c r="N28" s="17" t="s">
        <v>205</v>
      </c>
      <c r="O28" s="17" t="s">
        <v>206</v>
      </c>
      <c r="P28" s="16" t="s">
        <v>32</v>
      </c>
      <c r="Q28" s="16" t="s">
        <v>25</v>
      </c>
    </row>
    <row r="29" spans="1:17" s="12" customFormat="1" ht="16.5" thickBot="1" x14ac:dyDescent="0.3">
      <c r="A29" s="24">
        <v>6430</v>
      </c>
      <c r="B29" s="22" t="s">
        <v>17</v>
      </c>
      <c r="C29" s="16">
        <v>27.1</v>
      </c>
      <c r="D29" s="16"/>
      <c r="E29" s="16">
        <v>0</v>
      </c>
      <c r="F29" s="16" t="s">
        <v>18</v>
      </c>
      <c r="G29" s="16" t="s">
        <v>19</v>
      </c>
      <c r="H29" s="16">
        <v>11.12</v>
      </c>
      <c r="I29" s="16">
        <v>5.8</v>
      </c>
      <c r="J29" s="16">
        <v>21.6</v>
      </c>
      <c r="K29" s="17" t="s">
        <v>207</v>
      </c>
      <c r="L29" s="17" t="s">
        <v>208</v>
      </c>
      <c r="M29" s="17"/>
      <c r="N29" s="17" t="s">
        <v>209</v>
      </c>
      <c r="O29" s="17" t="s">
        <v>210</v>
      </c>
      <c r="P29" s="16" t="s">
        <v>24</v>
      </c>
      <c r="Q29" s="16" t="s">
        <v>25</v>
      </c>
    </row>
    <row r="30" spans="1:17" s="12" customFormat="1" ht="16.5" thickBot="1" x14ac:dyDescent="0.3">
      <c r="A30" s="24">
        <v>6431</v>
      </c>
      <c r="B30" s="22" t="s">
        <v>17</v>
      </c>
      <c r="C30" s="16">
        <v>13.8</v>
      </c>
      <c r="D30" s="16"/>
      <c r="E30" s="16">
        <v>0</v>
      </c>
      <c r="F30" s="16" t="s">
        <v>18</v>
      </c>
      <c r="G30" s="16" t="s">
        <v>19</v>
      </c>
      <c r="H30" s="16">
        <v>1.32</v>
      </c>
      <c r="I30" s="16">
        <v>5.4</v>
      </c>
      <c r="J30" s="16">
        <v>23.1</v>
      </c>
      <c r="K30" s="17" t="s">
        <v>99</v>
      </c>
      <c r="L30" s="17" t="s">
        <v>100</v>
      </c>
      <c r="M30" s="17"/>
      <c r="N30" s="17" t="s">
        <v>101</v>
      </c>
      <c r="O30" s="17" t="s">
        <v>102</v>
      </c>
      <c r="P30" s="16" t="s">
        <v>24</v>
      </c>
      <c r="Q30" s="16" t="s">
        <v>25</v>
      </c>
    </row>
    <row r="31" spans="1:17" s="12" customFormat="1" ht="16.5" thickBot="1" x14ac:dyDescent="0.3">
      <c r="A31" s="24">
        <v>6434</v>
      </c>
      <c r="B31" s="22" t="s">
        <v>17</v>
      </c>
      <c r="C31" s="16">
        <v>10.45</v>
      </c>
      <c r="D31" s="16"/>
      <c r="E31" s="16">
        <v>0</v>
      </c>
      <c r="F31" s="16" t="s">
        <v>18</v>
      </c>
      <c r="G31" s="16" t="s">
        <v>19</v>
      </c>
      <c r="H31" s="16">
        <v>31.11</v>
      </c>
      <c r="I31" s="16">
        <v>5.6</v>
      </c>
      <c r="J31" s="16">
        <v>24.8</v>
      </c>
      <c r="K31" s="17" t="s">
        <v>211</v>
      </c>
      <c r="L31" s="17" t="s">
        <v>212</v>
      </c>
      <c r="M31" s="17"/>
      <c r="N31" s="17" t="s">
        <v>213</v>
      </c>
      <c r="O31" s="17" t="s">
        <v>214</v>
      </c>
      <c r="P31" s="16" t="s">
        <v>215</v>
      </c>
      <c r="Q31" s="16" t="s">
        <v>25</v>
      </c>
    </row>
    <row r="32" spans="1:17" s="12" customFormat="1" ht="16.5" thickBot="1" x14ac:dyDescent="0.3">
      <c r="A32" s="24">
        <v>6439</v>
      </c>
      <c r="B32" s="22" t="s">
        <v>17</v>
      </c>
      <c r="C32" s="16">
        <v>26.96</v>
      </c>
      <c r="D32" s="16"/>
      <c r="E32" s="16">
        <v>0</v>
      </c>
      <c r="F32" s="16" t="s">
        <v>18</v>
      </c>
      <c r="G32" s="16" t="s">
        <v>33</v>
      </c>
      <c r="H32" s="16">
        <v>5.33</v>
      </c>
      <c r="I32" s="16">
        <v>4.7</v>
      </c>
      <c r="J32" s="16">
        <v>29.1</v>
      </c>
      <c r="K32" s="17" t="s">
        <v>216</v>
      </c>
      <c r="L32" s="17" t="s">
        <v>217</v>
      </c>
      <c r="M32" s="17"/>
      <c r="N32" s="17" t="s">
        <v>218</v>
      </c>
      <c r="O32" s="17" t="s">
        <v>219</v>
      </c>
      <c r="P32" s="16" t="s">
        <v>32</v>
      </c>
      <c r="Q32" s="16" t="s">
        <v>25</v>
      </c>
    </row>
    <row r="33" spans="1:17" s="12" customFormat="1" ht="16.5" thickBot="1" x14ac:dyDescent="0.3">
      <c r="A33" s="24">
        <v>6440</v>
      </c>
      <c r="B33" s="22" t="s">
        <v>17</v>
      </c>
      <c r="C33" s="16">
        <v>15.73</v>
      </c>
      <c r="D33" s="16"/>
      <c r="E33" s="16">
        <v>0</v>
      </c>
      <c r="F33" s="16" t="s">
        <v>26</v>
      </c>
      <c r="G33" s="16" t="s">
        <v>19</v>
      </c>
      <c r="H33" s="16">
        <v>4.45</v>
      </c>
      <c r="I33" s="16">
        <v>5</v>
      </c>
      <c r="J33" s="16">
        <v>20.5</v>
      </c>
      <c r="K33" s="17" t="s">
        <v>220</v>
      </c>
      <c r="L33" s="17" t="s">
        <v>221</v>
      </c>
      <c r="M33" s="17"/>
      <c r="N33" s="17" t="s">
        <v>222</v>
      </c>
      <c r="O33" s="17" t="s">
        <v>223</v>
      </c>
      <c r="P33" s="16" t="s">
        <v>24</v>
      </c>
      <c r="Q33" s="16" t="s">
        <v>25</v>
      </c>
    </row>
    <row r="34" spans="1:17" s="12" customFormat="1" ht="16.5" thickBot="1" x14ac:dyDescent="0.3">
      <c r="A34" s="24">
        <v>6442</v>
      </c>
      <c r="B34" s="22" t="s">
        <v>17</v>
      </c>
      <c r="C34" s="16">
        <v>28</v>
      </c>
      <c r="D34" s="16"/>
      <c r="E34" s="16">
        <v>0</v>
      </c>
      <c r="F34" s="16" t="s">
        <v>18</v>
      </c>
      <c r="G34" s="16" t="s">
        <v>19</v>
      </c>
      <c r="H34" s="16">
        <v>5.91</v>
      </c>
      <c r="I34" s="16">
        <v>5.0999999999999996</v>
      </c>
      <c r="J34" s="16">
        <v>23.2</v>
      </c>
      <c r="K34" s="17" t="s">
        <v>224</v>
      </c>
      <c r="L34" s="17" t="s">
        <v>225</v>
      </c>
      <c r="M34" s="17"/>
      <c r="N34" s="17" t="s">
        <v>226</v>
      </c>
      <c r="O34" s="17" t="s">
        <v>227</v>
      </c>
      <c r="P34" s="16" t="s">
        <v>24</v>
      </c>
      <c r="Q34" s="16" t="s">
        <v>25</v>
      </c>
    </row>
    <row r="35" spans="1:17" s="12" customFormat="1" ht="16.5" thickBot="1" x14ac:dyDescent="0.3">
      <c r="A35" s="24">
        <v>6445</v>
      </c>
      <c r="B35" s="22" t="s">
        <v>17</v>
      </c>
      <c r="C35" s="16">
        <v>17.25</v>
      </c>
      <c r="D35" s="16"/>
      <c r="E35" s="16">
        <v>0</v>
      </c>
      <c r="F35" s="16" t="s">
        <v>18</v>
      </c>
      <c r="G35" s="16" t="s">
        <v>19</v>
      </c>
      <c r="H35" s="16">
        <v>12.11</v>
      </c>
      <c r="I35" s="16">
        <v>5.6</v>
      </c>
      <c r="J35" s="16">
        <v>20.6</v>
      </c>
      <c r="K35" s="17" t="s">
        <v>228</v>
      </c>
      <c r="L35" s="17" t="s">
        <v>229</v>
      </c>
      <c r="M35" s="17"/>
      <c r="N35" s="17" t="s">
        <v>230</v>
      </c>
      <c r="O35" s="17" t="s">
        <v>231</v>
      </c>
      <c r="P35" s="16" t="s">
        <v>24</v>
      </c>
      <c r="Q35" s="16" t="s">
        <v>25</v>
      </c>
    </row>
    <row r="36" spans="1:17" s="12" customFormat="1" ht="16.5" thickBot="1" x14ac:dyDescent="0.3">
      <c r="A36" s="24">
        <v>6446</v>
      </c>
      <c r="B36" s="22" t="s">
        <v>17</v>
      </c>
      <c r="C36" s="16">
        <v>0</v>
      </c>
      <c r="D36" s="16">
        <v>34</v>
      </c>
      <c r="E36" s="16">
        <v>0</v>
      </c>
      <c r="F36" s="16" t="s">
        <v>26</v>
      </c>
      <c r="G36" s="16" t="s">
        <v>19</v>
      </c>
      <c r="H36" s="16">
        <v>0.61</v>
      </c>
      <c r="I36" s="16"/>
      <c r="J36" s="16"/>
      <c r="K36" s="17" t="s">
        <v>232</v>
      </c>
      <c r="L36" s="17" t="s">
        <v>233</v>
      </c>
      <c r="M36" s="17" t="s">
        <v>234</v>
      </c>
      <c r="N36" s="17"/>
      <c r="O36" s="17" t="s">
        <v>235</v>
      </c>
      <c r="P36" s="16" t="s">
        <v>85</v>
      </c>
      <c r="Q36" s="16" t="s">
        <v>25</v>
      </c>
    </row>
    <row r="37" spans="1:17" s="12" customFormat="1" ht="16.5" thickBot="1" x14ac:dyDescent="0.3">
      <c r="A37" s="24">
        <v>6448</v>
      </c>
      <c r="B37" s="22" t="s">
        <v>17</v>
      </c>
      <c r="C37" s="16">
        <v>34.630000000000003</v>
      </c>
      <c r="D37" s="16"/>
      <c r="E37" s="16">
        <v>0</v>
      </c>
      <c r="F37" s="16" t="s">
        <v>26</v>
      </c>
      <c r="G37" s="16" t="s">
        <v>19</v>
      </c>
      <c r="H37" s="16">
        <v>1.04</v>
      </c>
      <c r="I37" s="16">
        <v>5</v>
      </c>
      <c r="J37" s="16">
        <v>26.9</v>
      </c>
      <c r="K37" s="17" t="s">
        <v>236</v>
      </c>
      <c r="L37" s="17" t="s">
        <v>237</v>
      </c>
      <c r="M37" s="17"/>
      <c r="N37" s="17" t="s">
        <v>238</v>
      </c>
      <c r="O37" s="17" t="s">
        <v>239</v>
      </c>
      <c r="P37" s="16" t="s">
        <v>24</v>
      </c>
      <c r="Q37" s="16" t="s">
        <v>25</v>
      </c>
    </row>
    <row r="38" spans="1:17" s="12" customFormat="1" ht="16.5" thickBot="1" x14ac:dyDescent="0.3">
      <c r="A38" s="24">
        <v>6453</v>
      </c>
      <c r="B38" s="22" t="s">
        <v>17</v>
      </c>
      <c r="C38" s="16">
        <v>23.44</v>
      </c>
      <c r="D38" s="16"/>
      <c r="E38" s="16">
        <v>0</v>
      </c>
      <c r="F38" s="16" t="s">
        <v>18</v>
      </c>
      <c r="G38" s="16" t="s">
        <v>54</v>
      </c>
      <c r="H38" s="16">
        <v>2.68</v>
      </c>
      <c r="I38" s="16">
        <v>5.0999999999999996</v>
      </c>
      <c r="J38" s="16">
        <v>23.1</v>
      </c>
      <c r="K38" s="17" t="s">
        <v>240</v>
      </c>
      <c r="L38" s="17" t="s">
        <v>241</v>
      </c>
      <c r="M38" s="17"/>
      <c r="N38" s="17" t="s">
        <v>242</v>
      </c>
      <c r="O38" s="17" t="s">
        <v>243</v>
      </c>
      <c r="P38" s="16" t="s">
        <v>32</v>
      </c>
      <c r="Q38" s="16" t="s">
        <v>25</v>
      </c>
    </row>
    <row r="39" spans="1:17" s="12" customFormat="1" ht="16.5" thickBot="1" x14ac:dyDescent="0.3">
      <c r="A39" s="24">
        <v>6454</v>
      </c>
      <c r="B39" s="22" t="s">
        <v>17</v>
      </c>
      <c r="C39" s="16">
        <v>25.16</v>
      </c>
      <c r="D39" s="16"/>
      <c r="E39" s="16">
        <v>0</v>
      </c>
      <c r="F39" s="16" t="s">
        <v>18</v>
      </c>
      <c r="G39" s="16" t="s">
        <v>19</v>
      </c>
      <c r="H39" s="16">
        <v>4.57</v>
      </c>
      <c r="I39" s="16">
        <v>4.7</v>
      </c>
      <c r="J39" s="16">
        <v>26.6</v>
      </c>
      <c r="K39" s="17" t="s">
        <v>244</v>
      </c>
      <c r="L39" s="17" t="s">
        <v>245</v>
      </c>
      <c r="M39" s="17"/>
      <c r="N39" s="17"/>
      <c r="O39" s="17" t="s">
        <v>246</v>
      </c>
      <c r="P39" s="16" t="s">
        <v>24</v>
      </c>
      <c r="Q39" s="16" t="s">
        <v>25</v>
      </c>
    </row>
    <row r="40" spans="1:17" s="12" customFormat="1" ht="16.5" thickBot="1" x14ac:dyDescent="0.3">
      <c r="A40" s="24">
        <v>6460</v>
      </c>
      <c r="B40" s="22" t="s">
        <v>17</v>
      </c>
      <c r="C40" s="16">
        <v>0</v>
      </c>
      <c r="D40" s="16">
        <v>39</v>
      </c>
      <c r="E40" s="16">
        <v>0</v>
      </c>
      <c r="F40" s="16" t="s">
        <v>26</v>
      </c>
      <c r="G40" s="16" t="s">
        <v>19</v>
      </c>
      <c r="H40" s="16">
        <v>1</v>
      </c>
      <c r="I40" s="16">
        <v>3.9</v>
      </c>
      <c r="J40" s="16">
        <v>14</v>
      </c>
      <c r="K40" s="17" t="s">
        <v>247</v>
      </c>
      <c r="L40" s="17" t="s">
        <v>248</v>
      </c>
      <c r="M40" s="17"/>
      <c r="N40" s="17" t="s">
        <v>249</v>
      </c>
      <c r="O40" s="17" t="s">
        <v>250</v>
      </c>
      <c r="P40" s="16" t="s">
        <v>24</v>
      </c>
      <c r="Q40" s="16" t="s">
        <v>25</v>
      </c>
    </row>
    <row r="41" spans="1:17" s="12" customFormat="1" ht="16.5" thickBot="1" x14ac:dyDescent="0.3">
      <c r="A41" s="24">
        <v>6461</v>
      </c>
      <c r="B41" s="22" t="s">
        <v>17</v>
      </c>
      <c r="C41" s="16">
        <v>14.29</v>
      </c>
      <c r="D41" s="16"/>
      <c r="E41" s="16">
        <v>0</v>
      </c>
      <c r="F41" s="16" t="s">
        <v>18</v>
      </c>
      <c r="G41" s="16" t="s">
        <v>19</v>
      </c>
      <c r="H41" s="16">
        <v>5.26</v>
      </c>
      <c r="I41" s="16" t="s">
        <v>251</v>
      </c>
      <c r="J41" s="16">
        <v>18.5</v>
      </c>
      <c r="K41" s="17" t="s">
        <v>252</v>
      </c>
      <c r="L41" s="17" t="s">
        <v>253</v>
      </c>
      <c r="M41" s="17" t="s">
        <v>254</v>
      </c>
      <c r="N41" s="17" t="s">
        <v>255</v>
      </c>
      <c r="O41" s="17" t="s">
        <v>256</v>
      </c>
      <c r="P41" s="16" t="s">
        <v>32</v>
      </c>
      <c r="Q41" s="16" t="s">
        <v>25</v>
      </c>
    </row>
    <row r="42" spans="1:17" s="12" customFormat="1" ht="16.5" thickBot="1" x14ac:dyDescent="0.3">
      <c r="A42" s="24">
        <v>6462</v>
      </c>
      <c r="B42" s="22" t="s">
        <v>17</v>
      </c>
      <c r="C42" s="16">
        <v>13.52</v>
      </c>
      <c r="D42" s="16"/>
      <c r="E42" s="16">
        <v>0</v>
      </c>
      <c r="F42" s="16" t="s">
        <v>26</v>
      </c>
      <c r="G42" s="16" t="s">
        <v>19</v>
      </c>
      <c r="H42" s="16">
        <v>11.09</v>
      </c>
      <c r="I42" s="16">
        <v>5.5</v>
      </c>
      <c r="J42" s="16">
        <v>15.2</v>
      </c>
      <c r="K42" s="17" t="s">
        <v>257</v>
      </c>
      <c r="L42" s="17" t="s">
        <v>258</v>
      </c>
      <c r="M42" s="17"/>
      <c r="N42" s="17" t="s">
        <v>259</v>
      </c>
      <c r="O42" s="17" t="s">
        <v>260</v>
      </c>
      <c r="P42" s="16" t="s">
        <v>24</v>
      </c>
      <c r="Q42" s="16" t="s">
        <v>25</v>
      </c>
    </row>
    <row r="43" spans="1:17" s="12" customFormat="1" ht="16.5" thickBot="1" x14ac:dyDescent="0.3">
      <c r="A43" s="24">
        <v>6465</v>
      </c>
      <c r="B43" s="22" t="s">
        <v>17</v>
      </c>
      <c r="C43" s="16">
        <v>3.91</v>
      </c>
      <c r="D43" s="16"/>
      <c r="E43" s="16">
        <v>0</v>
      </c>
      <c r="F43" s="16" t="s">
        <v>18</v>
      </c>
      <c r="G43" s="16" t="s">
        <v>33</v>
      </c>
      <c r="H43" s="16">
        <v>3.42</v>
      </c>
      <c r="I43" s="16">
        <v>5.2</v>
      </c>
      <c r="J43" s="16">
        <v>16.8</v>
      </c>
      <c r="K43" s="17" t="s">
        <v>261</v>
      </c>
      <c r="L43" s="17" t="s">
        <v>262</v>
      </c>
      <c r="M43" s="17" t="s">
        <v>263</v>
      </c>
      <c r="N43" s="17" t="s">
        <v>264</v>
      </c>
      <c r="O43" s="17" t="s">
        <v>265</v>
      </c>
      <c r="P43" s="16" t="s">
        <v>24</v>
      </c>
      <c r="Q43" s="16" t="s">
        <v>25</v>
      </c>
    </row>
    <row r="44" spans="1:17" s="12" customFormat="1" ht="16.5" thickBot="1" x14ac:dyDescent="0.3">
      <c r="A44" s="24">
        <v>6467</v>
      </c>
      <c r="B44" s="22" t="s">
        <v>17</v>
      </c>
      <c r="C44" s="16">
        <v>13.83</v>
      </c>
      <c r="D44" s="16"/>
      <c r="E44" s="16">
        <v>0</v>
      </c>
      <c r="F44" s="16" t="s">
        <v>18</v>
      </c>
      <c r="G44" s="16" t="s">
        <v>19</v>
      </c>
      <c r="H44" s="16">
        <v>10.82</v>
      </c>
      <c r="I44" s="16">
        <v>5.0999999999999996</v>
      </c>
      <c r="J44" s="16">
        <v>19.600000000000001</v>
      </c>
      <c r="K44" s="17" t="s">
        <v>266</v>
      </c>
      <c r="L44" s="17" t="s">
        <v>267</v>
      </c>
      <c r="M44" s="17"/>
      <c r="N44" s="17" t="s">
        <v>268</v>
      </c>
      <c r="O44" s="17" t="s">
        <v>269</v>
      </c>
      <c r="P44" s="16" t="s">
        <v>24</v>
      </c>
      <c r="Q44" s="16" t="s">
        <v>25</v>
      </c>
    </row>
    <row r="45" spans="1:17" s="12" customFormat="1" ht="16.5" thickBot="1" x14ac:dyDescent="0.3">
      <c r="A45" s="24">
        <v>6468</v>
      </c>
      <c r="B45" s="22" t="s">
        <v>17</v>
      </c>
      <c r="C45" s="16">
        <v>16.22</v>
      </c>
      <c r="D45" s="16"/>
      <c r="E45" s="16">
        <v>0</v>
      </c>
      <c r="F45" s="16" t="s">
        <v>18</v>
      </c>
      <c r="G45" s="16" t="s">
        <v>19</v>
      </c>
      <c r="H45" s="16">
        <v>5.27</v>
      </c>
      <c r="I45" s="16">
        <v>4.4000000000000004</v>
      </c>
      <c r="J45" s="16">
        <v>15.9</v>
      </c>
      <c r="K45" s="17" t="s">
        <v>270</v>
      </c>
      <c r="L45" s="17" t="s">
        <v>271</v>
      </c>
      <c r="M45" s="17" t="s">
        <v>272</v>
      </c>
      <c r="N45" s="17" t="s">
        <v>273</v>
      </c>
      <c r="O45" s="17" t="s">
        <v>274</v>
      </c>
      <c r="P45" s="16" t="s">
        <v>24</v>
      </c>
      <c r="Q45" s="16" t="s">
        <v>25</v>
      </c>
    </row>
    <row r="46" spans="1:17" s="12" customFormat="1" ht="16.5" thickBot="1" x14ac:dyDescent="0.3">
      <c r="A46" s="24">
        <v>6470</v>
      </c>
      <c r="B46" s="22" t="s">
        <v>17</v>
      </c>
      <c r="C46" s="16">
        <v>30.1</v>
      </c>
      <c r="D46" s="16"/>
      <c r="E46" s="16">
        <v>0</v>
      </c>
      <c r="F46" s="16" t="s">
        <v>18</v>
      </c>
      <c r="G46" s="16" t="s">
        <v>19</v>
      </c>
      <c r="H46" s="16">
        <v>6.03</v>
      </c>
      <c r="I46" s="16">
        <v>5.5</v>
      </c>
      <c r="J46" s="16">
        <v>22.5</v>
      </c>
      <c r="K46" s="17" t="s">
        <v>275</v>
      </c>
      <c r="L46" s="17" t="s">
        <v>276</v>
      </c>
      <c r="M46" s="17"/>
      <c r="N46" s="17" t="s">
        <v>277</v>
      </c>
      <c r="O46" s="17" t="s">
        <v>278</v>
      </c>
      <c r="P46" s="16" t="s">
        <v>24</v>
      </c>
      <c r="Q46" s="16" t="s">
        <v>25</v>
      </c>
    </row>
    <row r="47" spans="1:17" s="12" customFormat="1" ht="16.5" thickBot="1" x14ac:dyDescent="0.3">
      <c r="A47" s="24">
        <v>6471</v>
      </c>
      <c r="B47" s="22" t="s">
        <v>17</v>
      </c>
      <c r="C47" s="16">
        <v>16.940000000000001</v>
      </c>
      <c r="D47" s="16"/>
      <c r="E47" s="16">
        <v>0</v>
      </c>
      <c r="F47" s="16" t="s">
        <v>18</v>
      </c>
      <c r="G47" s="16" t="s">
        <v>33</v>
      </c>
      <c r="H47" s="16">
        <v>1.99</v>
      </c>
      <c r="I47" s="16">
        <v>5.5</v>
      </c>
      <c r="J47" s="16">
        <v>18.399999999999999</v>
      </c>
      <c r="K47" s="17" t="s">
        <v>279</v>
      </c>
      <c r="L47" s="17" t="s">
        <v>280</v>
      </c>
      <c r="M47" s="17"/>
      <c r="N47" s="17" t="s">
        <v>281</v>
      </c>
      <c r="O47" s="17" t="s">
        <v>282</v>
      </c>
      <c r="P47" s="16" t="s">
        <v>32</v>
      </c>
      <c r="Q47" s="16" t="s">
        <v>25</v>
      </c>
    </row>
    <row r="48" spans="1:17" s="12" customFormat="1" ht="16.5" thickBot="1" x14ac:dyDescent="0.3">
      <c r="A48" s="24">
        <v>6474</v>
      </c>
      <c r="B48" s="22" t="s">
        <v>17</v>
      </c>
      <c r="C48" s="16">
        <v>21.12</v>
      </c>
      <c r="D48" s="16"/>
      <c r="E48" s="16">
        <v>0</v>
      </c>
      <c r="F48" s="16" t="s">
        <v>18</v>
      </c>
      <c r="G48" s="16" t="s">
        <v>33</v>
      </c>
      <c r="H48" s="16">
        <v>5.88</v>
      </c>
      <c r="I48" s="16">
        <v>5.3</v>
      </c>
      <c r="J48" s="16">
        <v>29</v>
      </c>
      <c r="K48" s="17" t="s">
        <v>283</v>
      </c>
      <c r="L48" s="17" t="s">
        <v>284</v>
      </c>
      <c r="M48" s="17"/>
      <c r="N48" s="17" t="s">
        <v>285</v>
      </c>
      <c r="O48" s="17" t="s">
        <v>286</v>
      </c>
      <c r="P48" s="16" t="s">
        <v>32</v>
      </c>
      <c r="Q48" s="16" t="s">
        <v>25</v>
      </c>
    </row>
    <row r="49" spans="1:17" s="12" customFormat="1" ht="16.5" thickBot="1" x14ac:dyDescent="0.3">
      <c r="A49" s="24">
        <v>6476</v>
      </c>
      <c r="B49" s="22" t="s">
        <v>17</v>
      </c>
      <c r="C49" s="16">
        <v>10.23</v>
      </c>
      <c r="D49" s="16"/>
      <c r="E49" s="16">
        <v>0</v>
      </c>
      <c r="F49" s="16" t="s">
        <v>26</v>
      </c>
      <c r="G49" s="16" t="s">
        <v>33</v>
      </c>
      <c r="H49" s="16">
        <v>6.95</v>
      </c>
      <c r="I49" s="16">
        <v>6.3</v>
      </c>
      <c r="J49" s="16">
        <v>36.700000000000003</v>
      </c>
      <c r="K49" s="17" t="s">
        <v>287</v>
      </c>
      <c r="L49" s="17" t="s">
        <v>288</v>
      </c>
      <c r="M49" s="17" t="s">
        <v>289</v>
      </c>
      <c r="N49" s="17" t="s">
        <v>290</v>
      </c>
      <c r="O49" s="17" t="s">
        <v>291</v>
      </c>
      <c r="P49" s="16" t="s">
        <v>24</v>
      </c>
      <c r="Q49" s="16" t="s">
        <v>25</v>
      </c>
    </row>
    <row r="50" spans="1:17" s="12" customFormat="1" ht="16.5" thickBot="1" x14ac:dyDescent="0.3">
      <c r="A50" s="24">
        <v>6479</v>
      </c>
      <c r="B50" s="22" t="s">
        <v>17</v>
      </c>
      <c r="C50" s="16">
        <v>20.9</v>
      </c>
      <c r="D50" s="16"/>
      <c r="E50" s="16">
        <v>0</v>
      </c>
      <c r="F50" s="16" t="s">
        <v>26</v>
      </c>
      <c r="G50" s="16" t="s">
        <v>54</v>
      </c>
      <c r="H50" s="16">
        <v>1.74</v>
      </c>
      <c r="I50" s="16">
        <v>5</v>
      </c>
      <c r="J50" s="16">
        <v>20.9</v>
      </c>
      <c r="K50" s="17" t="s">
        <v>292</v>
      </c>
      <c r="L50" s="17" t="s">
        <v>293</v>
      </c>
      <c r="M50" s="17"/>
      <c r="N50" s="17" t="s">
        <v>294</v>
      </c>
      <c r="O50" s="17" t="s">
        <v>295</v>
      </c>
      <c r="P50" s="16" t="s">
        <v>24</v>
      </c>
      <c r="Q50" s="16" t="s">
        <v>25</v>
      </c>
    </row>
    <row r="51" spans="1:17" s="12" customFormat="1" ht="16.5" thickBot="1" x14ac:dyDescent="0.3">
      <c r="A51" s="24">
        <v>6481</v>
      </c>
      <c r="B51" s="22" t="s">
        <v>17</v>
      </c>
      <c r="C51" s="16">
        <v>36.96</v>
      </c>
      <c r="D51" s="16"/>
      <c r="E51" s="16">
        <v>0</v>
      </c>
      <c r="F51" s="16" t="s">
        <v>18</v>
      </c>
      <c r="G51" s="16" t="s">
        <v>19</v>
      </c>
      <c r="H51" s="16">
        <v>10.89</v>
      </c>
      <c r="I51" s="16">
        <v>5.4</v>
      </c>
      <c r="J51" s="16">
        <v>29.9</v>
      </c>
      <c r="K51" s="17" t="s">
        <v>103</v>
      </c>
      <c r="L51" s="17" t="s">
        <v>104</v>
      </c>
      <c r="M51" s="17"/>
      <c r="N51" s="17" t="s">
        <v>105</v>
      </c>
      <c r="O51" s="17" t="s">
        <v>106</v>
      </c>
      <c r="P51" s="16" t="s">
        <v>24</v>
      </c>
      <c r="Q51" s="16" t="s">
        <v>25</v>
      </c>
    </row>
    <row r="52" spans="1:17" s="12" customFormat="1" ht="16.5" thickBot="1" x14ac:dyDescent="0.3">
      <c r="A52" s="24">
        <v>6482</v>
      </c>
      <c r="B52" s="22" t="s">
        <v>17</v>
      </c>
      <c r="C52" s="16">
        <v>18.690000000000001</v>
      </c>
      <c r="D52" s="16"/>
      <c r="E52" s="16">
        <v>0</v>
      </c>
      <c r="F52" s="16" t="s">
        <v>26</v>
      </c>
      <c r="G52" s="16" t="s">
        <v>19</v>
      </c>
      <c r="H52" s="16">
        <v>7.47</v>
      </c>
      <c r="I52" s="16">
        <v>5.3</v>
      </c>
      <c r="J52" s="16">
        <v>20</v>
      </c>
      <c r="K52" s="17" t="s">
        <v>296</v>
      </c>
      <c r="L52" s="17" t="s">
        <v>297</v>
      </c>
      <c r="M52" s="17"/>
      <c r="N52" s="17" t="s">
        <v>298</v>
      </c>
      <c r="O52" s="17" t="s">
        <v>299</v>
      </c>
      <c r="P52" s="16" t="s">
        <v>32</v>
      </c>
      <c r="Q52" s="16" t="s">
        <v>25</v>
      </c>
    </row>
    <row r="53" spans="1:17" s="12" customFormat="1" ht="16.5" thickBot="1" x14ac:dyDescent="0.3">
      <c r="A53" s="24">
        <v>6486</v>
      </c>
      <c r="B53" s="22" t="s">
        <v>17</v>
      </c>
      <c r="C53" s="16">
        <v>37.32</v>
      </c>
      <c r="D53" s="16"/>
      <c r="E53" s="16">
        <v>0</v>
      </c>
      <c r="F53" s="16" t="s">
        <v>18</v>
      </c>
      <c r="G53" s="16" t="s">
        <v>19</v>
      </c>
      <c r="H53" s="16">
        <v>9.82</v>
      </c>
      <c r="I53" s="16">
        <v>5.8</v>
      </c>
      <c r="J53" s="16">
        <v>23.2</v>
      </c>
      <c r="K53" s="17" t="s">
        <v>300</v>
      </c>
      <c r="L53" s="17" t="s">
        <v>301</v>
      </c>
      <c r="M53" s="17"/>
      <c r="N53" s="17" t="s">
        <v>302</v>
      </c>
      <c r="O53" s="17" t="s">
        <v>303</v>
      </c>
      <c r="P53" s="16" t="s">
        <v>56</v>
      </c>
      <c r="Q53" s="16" t="s">
        <v>25</v>
      </c>
    </row>
    <row r="54" spans="1:17" s="12" customFormat="1" ht="16.5" thickBot="1" x14ac:dyDescent="0.3">
      <c r="A54" s="24">
        <v>6487</v>
      </c>
      <c r="B54" s="22" t="s">
        <v>17</v>
      </c>
      <c r="C54" s="16">
        <v>27.8</v>
      </c>
      <c r="D54" s="16"/>
      <c r="E54" s="16">
        <v>0</v>
      </c>
      <c r="F54" s="16" t="s">
        <v>18</v>
      </c>
      <c r="G54" s="16" t="s">
        <v>33</v>
      </c>
      <c r="H54" s="16">
        <v>5.52</v>
      </c>
      <c r="I54" s="16">
        <v>5.3</v>
      </c>
      <c r="J54" s="16">
        <v>27.8</v>
      </c>
      <c r="K54" s="17" t="s">
        <v>304</v>
      </c>
      <c r="L54" s="17" t="s">
        <v>305</v>
      </c>
      <c r="M54" s="17" t="s">
        <v>306</v>
      </c>
      <c r="N54" s="17" t="s">
        <v>307</v>
      </c>
      <c r="O54" s="17" t="s">
        <v>308</v>
      </c>
      <c r="P54" s="16" t="s">
        <v>56</v>
      </c>
      <c r="Q54" s="16" t="s">
        <v>25</v>
      </c>
    </row>
    <row r="55" spans="1:17" s="12" customFormat="1" ht="16.5" thickBot="1" x14ac:dyDescent="0.3">
      <c r="A55" s="24">
        <v>6492</v>
      </c>
      <c r="B55" s="22" t="s">
        <v>17</v>
      </c>
      <c r="C55" s="16">
        <v>28.56</v>
      </c>
      <c r="D55" s="16"/>
      <c r="E55" s="16">
        <v>0</v>
      </c>
      <c r="F55" s="16" t="s">
        <v>18</v>
      </c>
      <c r="G55" s="16" t="s">
        <v>54</v>
      </c>
      <c r="H55" s="16">
        <v>2.13</v>
      </c>
      <c r="I55" s="16">
        <v>6.2</v>
      </c>
      <c r="J55" s="16">
        <v>26.6</v>
      </c>
      <c r="K55" s="17" t="s">
        <v>309</v>
      </c>
      <c r="L55" s="17" t="s">
        <v>310</v>
      </c>
      <c r="M55" s="17"/>
      <c r="N55" s="17" t="s">
        <v>311</v>
      </c>
      <c r="O55" s="17" t="s">
        <v>312</v>
      </c>
      <c r="P55" s="16" t="s">
        <v>32</v>
      </c>
      <c r="Q55" s="16" t="s">
        <v>25</v>
      </c>
    </row>
    <row r="56" spans="1:17" s="12" customFormat="1" ht="16.5" thickBot="1" x14ac:dyDescent="0.3">
      <c r="A56" s="24">
        <v>6493</v>
      </c>
      <c r="B56" s="22" t="s">
        <v>17</v>
      </c>
      <c r="C56" s="16">
        <v>18.84</v>
      </c>
      <c r="D56" s="16"/>
      <c r="E56" s="16">
        <v>0</v>
      </c>
      <c r="F56" s="16" t="s">
        <v>18</v>
      </c>
      <c r="G56" s="16" t="s">
        <v>19</v>
      </c>
      <c r="H56" s="16">
        <v>7.08</v>
      </c>
      <c r="I56" s="16">
        <v>5.2</v>
      </c>
      <c r="J56" s="16">
        <v>17.7</v>
      </c>
      <c r="K56" s="17" t="s">
        <v>313</v>
      </c>
      <c r="L56" s="17" t="s">
        <v>314</v>
      </c>
      <c r="M56" s="17" t="s">
        <v>315</v>
      </c>
      <c r="N56" s="17" t="s">
        <v>316</v>
      </c>
      <c r="O56" s="17" t="s">
        <v>317</v>
      </c>
      <c r="P56" s="16" t="s">
        <v>32</v>
      </c>
      <c r="Q56" s="16" t="s">
        <v>25</v>
      </c>
    </row>
    <row r="57" spans="1:17" s="12" customFormat="1" ht="16.5" thickBot="1" x14ac:dyDescent="0.3">
      <c r="A57" s="24">
        <v>6501</v>
      </c>
      <c r="B57" s="22" t="s">
        <v>17</v>
      </c>
      <c r="C57" s="16">
        <v>12.85</v>
      </c>
      <c r="D57" s="16"/>
      <c r="E57" s="16">
        <v>0</v>
      </c>
      <c r="F57" s="16" t="s">
        <v>18</v>
      </c>
      <c r="G57" s="16" t="s">
        <v>19</v>
      </c>
      <c r="H57" s="16">
        <v>9.69</v>
      </c>
      <c r="I57" s="16">
        <v>5.2</v>
      </c>
      <c r="J57" s="16">
        <v>15.8</v>
      </c>
      <c r="K57" s="17" t="s">
        <v>318</v>
      </c>
      <c r="L57" s="17" t="s">
        <v>319</v>
      </c>
      <c r="M57" s="17" t="s">
        <v>320</v>
      </c>
      <c r="N57" s="17" t="s">
        <v>321</v>
      </c>
      <c r="O57" s="17" t="s">
        <v>322</v>
      </c>
      <c r="P57" s="16" t="s">
        <v>56</v>
      </c>
      <c r="Q57" s="16" t="s">
        <v>25</v>
      </c>
    </row>
    <row r="58" spans="1:17" s="12" customFormat="1" ht="16.5" thickBot="1" x14ac:dyDescent="0.3">
      <c r="A58" s="24">
        <v>6511</v>
      </c>
      <c r="B58" s="22" t="s">
        <v>17</v>
      </c>
      <c r="C58" s="16">
        <v>13.27</v>
      </c>
      <c r="D58" s="16"/>
      <c r="E58" s="16">
        <v>0</v>
      </c>
      <c r="F58" s="16" t="s">
        <v>26</v>
      </c>
      <c r="G58" s="16" t="s">
        <v>54</v>
      </c>
      <c r="H58" s="16">
        <v>0.41</v>
      </c>
      <c r="I58" s="16">
        <v>6.6</v>
      </c>
      <c r="J58" s="16">
        <v>22.4</v>
      </c>
      <c r="K58" s="17" t="s">
        <v>107</v>
      </c>
      <c r="L58" s="17" t="s">
        <v>108</v>
      </c>
      <c r="M58" s="17" t="s">
        <v>109</v>
      </c>
      <c r="N58" s="17" t="s">
        <v>110</v>
      </c>
      <c r="O58" s="17" t="s">
        <v>111</v>
      </c>
      <c r="P58" s="16" t="s">
        <v>24</v>
      </c>
      <c r="Q58" s="16" t="s">
        <v>25</v>
      </c>
    </row>
    <row r="59" spans="1:17" s="12" customFormat="1" ht="16.5" thickBot="1" x14ac:dyDescent="0.3">
      <c r="A59" s="24">
        <v>6516</v>
      </c>
      <c r="B59" s="22" t="s">
        <v>17</v>
      </c>
      <c r="C59" s="16">
        <v>20.75</v>
      </c>
      <c r="D59" s="16"/>
      <c r="E59" s="16">
        <v>0</v>
      </c>
      <c r="F59" s="16" t="s">
        <v>18</v>
      </c>
      <c r="G59" s="16" t="s">
        <v>19</v>
      </c>
      <c r="H59" s="16">
        <v>8.91</v>
      </c>
      <c r="I59" s="16">
        <v>5.5</v>
      </c>
      <c r="J59" s="16">
        <v>28.8</v>
      </c>
      <c r="K59" s="17" t="s">
        <v>112</v>
      </c>
      <c r="L59" s="17" t="s">
        <v>113</v>
      </c>
      <c r="M59" s="17" t="s">
        <v>114</v>
      </c>
      <c r="N59" s="17" t="s">
        <v>115</v>
      </c>
      <c r="O59" s="17" t="s">
        <v>116</v>
      </c>
      <c r="P59" s="16" t="s">
        <v>32</v>
      </c>
      <c r="Q59" s="16" t="s">
        <v>25</v>
      </c>
    </row>
    <row r="60" spans="1:17" s="12" customFormat="1" ht="16.5" thickBot="1" x14ac:dyDescent="0.3">
      <c r="A60" s="24">
        <v>6525</v>
      </c>
      <c r="B60" s="22" t="s">
        <v>17</v>
      </c>
      <c r="C60" s="16">
        <v>16.73</v>
      </c>
      <c r="D60" s="16"/>
      <c r="E60" s="16">
        <v>0</v>
      </c>
      <c r="F60" s="16" t="s">
        <v>18</v>
      </c>
      <c r="G60" s="16" t="s">
        <v>54</v>
      </c>
      <c r="H60" s="16">
        <v>2.65</v>
      </c>
      <c r="I60" s="16">
        <v>5.4</v>
      </c>
      <c r="J60" s="16">
        <v>18.585999999999999</v>
      </c>
      <c r="K60" s="17" t="s">
        <v>323</v>
      </c>
      <c r="L60" s="17" t="s">
        <v>324</v>
      </c>
      <c r="M60" s="17" t="s">
        <v>134</v>
      </c>
      <c r="N60" s="17" t="s">
        <v>325</v>
      </c>
      <c r="O60" s="17" t="s">
        <v>326</v>
      </c>
      <c r="P60" s="16" t="s">
        <v>24</v>
      </c>
      <c r="Q60" s="16" t="s">
        <v>25</v>
      </c>
    </row>
    <row r="61" spans="1:17" s="12" customFormat="1" ht="15.95" customHeight="1" thickBot="1" x14ac:dyDescent="0.3">
      <c r="A61" s="24">
        <v>6530</v>
      </c>
      <c r="B61" s="22" t="s">
        <v>17</v>
      </c>
      <c r="C61" s="16">
        <v>14.52</v>
      </c>
      <c r="D61" s="16"/>
      <c r="E61" s="16">
        <v>0</v>
      </c>
      <c r="F61" s="16" t="s">
        <v>26</v>
      </c>
      <c r="G61" s="16" t="s">
        <v>33</v>
      </c>
      <c r="H61" s="16">
        <v>7.41</v>
      </c>
      <c r="I61" s="16">
        <v>6</v>
      </c>
      <c r="J61" s="16">
        <v>22.5</v>
      </c>
      <c r="K61" s="17" t="s">
        <v>121</v>
      </c>
      <c r="L61" s="17" t="s">
        <v>122</v>
      </c>
      <c r="M61" s="17" t="s">
        <v>123</v>
      </c>
      <c r="N61" s="17" t="s">
        <v>124</v>
      </c>
      <c r="O61" s="17" t="s">
        <v>125</v>
      </c>
      <c r="P61" s="16" t="s">
        <v>126</v>
      </c>
      <c r="Q61" s="16" t="s">
        <v>25</v>
      </c>
    </row>
    <row r="62" spans="1:17" s="12" customFormat="1" ht="15" customHeight="1" thickBot="1" x14ac:dyDescent="0.3">
      <c r="A62" s="24">
        <v>6531</v>
      </c>
      <c r="B62" s="22" t="s">
        <v>17</v>
      </c>
      <c r="C62" s="16">
        <v>19.25</v>
      </c>
      <c r="D62" s="16"/>
      <c r="E62" s="16">
        <v>0</v>
      </c>
      <c r="F62" s="16" t="s">
        <v>26</v>
      </c>
      <c r="G62" s="16" t="s">
        <v>54</v>
      </c>
      <c r="H62" s="16">
        <v>26.53</v>
      </c>
      <c r="I62" s="16">
        <v>5.5</v>
      </c>
      <c r="J62" s="16">
        <v>30</v>
      </c>
      <c r="K62" s="17" t="s">
        <v>127</v>
      </c>
      <c r="L62" s="17" t="s">
        <v>128</v>
      </c>
      <c r="M62" s="17" t="s">
        <v>129</v>
      </c>
      <c r="N62" s="17" t="s">
        <v>130</v>
      </c>
      <c r="O62" s="18" t="s">
        <v>131</v>
      </c>
      <c r="P62" s="16" t="s">
        <v>32</v>
      </c>
      <c r="Q62" s="16" t="s">
        <v>25</v>
      </c>
    </row>
    <row r="63" spans="1:17" s="12" customFormat="1" ht="16.5" thickBot="1" x14ac:dyDescent="0.3">
      <c r="A63" s="24">
        <v>6535</v>
      </c>
      <c r="B63" s="22" t="s">
        <v>17</v>
      </c>
      <c r="C63" s="16">
        <v>31.07</v>
      </c>
      <c r="D63" s="16"/>
      <c r="E63" s="16">
        <v>0</v>
      </c>
      <c r="F63" s="16" t="s">
        <v>26</v>
      </c>
      <c r="G63" s="16" t="s">
        <v>19</v>
      </c>
      <c r="H63" s="16">
        <v>6.59</v>
      </c>
      <c r="I63" s="16" t="s">
        <v>55</v>
      </c>
      <c r="J63" s="16">
        <v>29.6</v>
      </c>
      <c r="K63" s="17" t="s">
        <v>132</v>
      </c>
      <c r="L63" s="17" t="s">
        <v>133</v>
      </c>
      <c r="M63" s="17" t="s">
        <v>134</v>
      </c>
      <c r="N63" s="17" t="s">
        <v>135</v>
      </c>
      <c r="O63" s="17" t="s">
        <v>136</v>
      </c>
      <c r="P63" s="16" t="s">
        <v>32</v>
      </c>
      <c r="Q63" s="16" t="s">
        <v>25</v>
      </c>
    </row>
    <row r="64" spans="1:17" s="12" customFormat="1" ht="15.95" customHeight="1" thickBot="1" x14ac:dyDescent="0.3">
      <c r="A64" s="24">
        <v>6537</v>
      </c>
      <c r="B64" s="22" t="s">
        <v>17</v>
      </c>
      <c r="C64" s="16">
        <v>33.049999999999997</v>
      </c>
      <c r="D64" s="16"/>
      <c r="E64" s="16">
        <v>0</v>
      </c>
      <c r="F64" s="16" t="s">
        <v>18</v>
      </c>
      <c r="G64" s="16" t="s">
        <v>19</v>
      </c>
      <c r="H64" s="16">
        <v>0.32</v>
      </c>
      <c r="I64" s="16">
        <v>5.6</v>
      </c>
      <c r="J64" s="16">
        <v>20.8</v>
      </c>
      <c r="K64" s="17" t="s">
        <v>137</v>
      </c>
      <c r="L64" s="17" t="s">
        <v>138</v>
      </c>
      <c r="M64" s="17" t="s">
        <v>139</v>
      </c>
      <c r="N64" s="17" t="s">
        <v>140</v>
      </c>
      <c r="O64" s="17" t="s">
        <v>141</v>
      </c>
      <c r="P64" s="16" t="s">
        <v>32</v>
      </c>
      <c r="Q64" s="16" t="s">
        <v>25</v>
      </c>
    </row>
    <row r="65" spans="1:19" s="12" customFormat="1" ht="158.25" thickBot="1" x14ac:dyDescent="0.3">
      <c r="A65" s="24">
        <v>6543</v>
      </c>
      <c r="B65" s="22" t="s">
        <v>17</v>
      </c>
      <c r="C65" s="16">
        <v>3.5</v>
      </c>
      <c r="D65" s="16"/>
      <c r="E65" s="16">
        <v>0</v>
      </c>
      <c r="F65" s="16" t="s">
        <v>18</v>
      </c>
      <c r="G65" s="16" t="s">
        <v>19</v>
      </c>
      <c r="H65" s="16">
        <v>1.45</v>
      </c>
      <c r="I65" s="16">
        <v>5.3</v>
      </c>
      <c r="J65" s="16">
        <v>17.399999999999999</v>
      </c>
      <c r="K65" s="18" t="s">
        <v>49</v>
      </c>
      <c r="L65" s="17" t="s">
        <v>50</v>
      </c>
      <c r="M65" s="17" t="s">
        <v>51</v>
      </c>
      <c r="N65" s="17" t="s">
        <v>52</v>
      </c>
      <c r="O65" s="17" t="s">
        <v>53</v>
      </c>
      <c r="P65" s="16" t="s">
        <v>24</v>
      </c>
      <c r="Q65" s="16" t="s">
        <v>25</v>
      </c>
    </row>
    <row r="66" spans="1:19" s="12" customFormat="1" ht="16.5" thickBot="1" x14ac:dyDescent="0.3">
      <c r="A66" s="24">
        <v>6544</v>
      </c>
      <c r="B66" s="22" t="s">
        <v>17</v>
      </c>
      <c r="C66" s="16">
        <v>12.45</v>
      </c>
      <c r="D66" s="16"/>
      <c r="E66" s="16">
        <v>0</v>
      </c>
      <c r="F66" s="16" t="s">
        <v>18</v>
      </c>
      <c r="G66" s="16" t="s">
        <v>33</v>
      </c>
      <c r="H66" s="16">
        <v>8.66</v>
      </c>
      <c r="I66" s="16">
        <v>5.2</v>
      </c>
      <c r="J66" s="16">
        <v>23.4</v>
      </c>
      <c r="K66" s="17" t="s">
        <v>44</v>
      </c>
      <c r="L66" s="17" t="s">
        <v>45</v>
      </c>
      <c r="M66" s="17" t="s">
        <v>46</v>
      </c>
      <c r="N66" s="17" t="s">
        <v>47</v>
      </c>
      <c r="O66" s="17" t="s">
        <v>48</v>
      </c>
      <c r="P66" s="16" t="s">
        <v>24</v>
      </c>
      <c r="Q66" s="16" t="s">
        <v>25</v>
      </c>
    </row>
    <row r="67" spans="1:19" s="12" customFormat="1" ht="16.5" thickBot="1" x14ac:dyDescent="0.3">
      <c r="A67" s="24">
        <v>6546</v>
      </c>
      <c r="B67" s="22" t="s">
        <v>17</v>
      </c>
      <c r="C67" s="16">
        <v>22.29</v>
      </c>
      <c r="D67" s="16"/>
      <c r="E67" s="16">
        <v>0</v>
      </c>
      <c r="F67" s="16" t="s">
        <v>18</v>
      </c>
      <c r="G67" s="16" t="s">
        <v>39</v>
      </c>
      <c r="H67" s="16">
        <v>11</v>
      </c>
      <c r="I67" s="16">
        <v>5.6</v>
      </c>
      <c r="J67" s="16">
        <v>23.7</v>
      </c>
      <c r="K67" s="17" t="s">
        <v>40</v>
      </c>
      <c r="L67" s="17" t="s">
        <v>41</v>
      </c>
      <c r="M67" s="17" t="s">
        <v>36</v>
      </c>
      <c r="N67" s="17" t="s">
        <v>42</v>
      </c>
      <c r="O67" s="17" t="s">
        <v>43</v>
      </c>
      <c r="P67" s="16" t="s">
        <v>24</v>
      </c>
      <c r="Q67" s="16" t="s">
        <v>25</v>
      </c>
    </row>
    <row r="68" spans="1:19" s="12" customFormat="1" ht="17.100000000000001" customHeight="1" thickBot="1" x14ac:dyDescent="0.3">
      <c r="A68" s="24">
        <v>6547</v>
      </c>
      <c r="B68" s="22" t="s">
        <v>17</v>
      </c>
      <c r="C68" s="16">
        <v>6.64</v>
      </c>
      <c r="D68" s="16"/>
      <c r="E68" s="16">
        <v>0</v>
      </c>
      <c r="F68" s="16" t="s">
        <v>26</v>
      </c>
      <c r="G68" s="16" t="s">
        <v>33</v>
      </c>
      <c r="H68" s="16">
        <v>3.89</v>
      </c>
      <c r="I68" s="16">
        <v>5.5</v>
      </c>
      <c r="J68" s="16">
        <v>24.8</v>
      </c>
      <c r="K68" s="17" t="s">
        <v>34</v>
      </c>
      <c r="L68" s="17" t="s">
        <v>35</v>
      </c>
      <c r="M68" s="17" t="s">
        <v>36</v>
      </c>
      <c r="N68" s="17" t="s">
        <v>37</v>
      </c>
      <c r="O68" s="17" t="s">
        <v>38</v>
      </c>
      <c r="P68" s="16" t="s">
        <v>24</v>
      </c>
      <c r="Q68" s="16" t="s">
        <v>25</v>
      </c>
    </row>
    <row r="69" spans="1:19" s="12" customFormat="1" ht="16.5" thickBot="1" x14ac:dyDescent="0.3">
      <c r="A69" s="24">
        <v>6548</v>
      </c>
      <c r="B69" s="22" t="s">
        <v>17</v>
      </c>
      <c r="C69" s="16">
        <v>20.239999999999998</v>
      </c>
      <c r="D69" s="16"/>
      <c r="E69" s="16">
        <v>0</v>
      </c>
      <c r="F69" s="16" t="s">
        <v>18</v>
      </c>
      <c r="G69" s="16" t="s">
        <v>19</v>
      </c>
      <c r="H69" s="16">
        <v>4.04</v>
      </c>
      <c r="I69" s="16">
        <v>5.7</v>
      </c>
      <c r="J69" s="16">
        <v>23.8</v>
      </c>
      <c r="K69" s="17" t="s">
        <v>142</v>
      </c>
      <c r="L69" s="17" t="s">
        <v>143</v>
      </c>
      <c r="M69" s="17" t="s">
        <v>119</v>
      </c>
      <c r="N69" s="17" t="s">
        <v>144</v>
      </c>
      <c r="O69" s="17" t="s">
        <v>145</v>
      </c>
      <c r="P69" s="16" t="s">
        <v>32</v>
      </c>
      <c r="Q69" s="16" t="s">
        <v>25</v>
      </c>
    </row>
    <row r="70" spans="1:19" s="12" customFormat="1" ht="15.95" customHeight="1" thickBot="1" x14ac:dyDescent="0.3">
      <c r="A70" s="24">
        <v>6552</v>
      </c>
      <c r="B70" s="22" t="s">
        <v>17</v>
      </c>
      <c r="C70" s="16">
        <v>33.869999999999997</v>
      </c>
      <c r="D70" s="16"/>
      <c r="E70" s="16">
        <v>0</v>
      </c>
      <c r="F70" s="16" t="s">
        <v>26</v>
      </c>
      <c r="G70" s="16" t="s">
        <v>19</v>
      </c>
      <c r="H70" s="16">
        <v>1.8</v>
      </c>
      <c r="I70" s="16">
        <v>5.6</v>
      </c>
      <c r="J70" s="16">
        <v>21.9</v>
      </c>
      <c r="K70" s="17" t="s">
        <v>27</v>
      </c>
      <c r="L70" s="17" t="s">
        <v>28</v>
      </c>
      <c r="M70" s="17" t="s">
        <v>29</v>
      </c>
      <c r="N70" s="17" t="s">
        <v>30</v>
      </c>
      <c r="O70" s="17" t="s">
        <v>31</v>
      </c>
      <c r="P70" s="16" t="s">
        <v>32</v>
      </c>
      <c r="Q70" s="16" t="s">
        <v>25</v>
      </c>
    </row>
    <row r="71" spans="1:19" s="12" customFormat="1" ht="409.6" thickBot="1" x14ac:dyDescent="0.3">
      <c r="A71" s="25">
        <v>6557</v>
      </c>
      <c r="B71" s="22" t="s">
        <v>17</v>
      </c>
      <c r="C71" s="16">
        <v>37.44</v>
      </c>
      <c r="D71" s="16"/>
      <c r="E71" s="16">
        <v>0</v>
      </c>
      <c r="F71" s="16" t="s">
        <v>18</v>
      </c>
      <c r="G71" s="16" t="s">
        <v>19</v>
      </c>
      <c r="H71" s="16">
        <v>2.1800000000000002</v>
      </c>
      <c r="I71" s="16">
        <v>4.4000000000000004</v>
      </c>
      <c r="J71" s="16">
        <v>25.2</v>
      </c>
      <c r="K71" s="17" t="s">
        <v>20</v>
      </c>
      <c r="L71" s="18" t="s">
        <v>21</v>
      </c>
      <c r="M71" s="17" t="s">
        <v>22</v>
      </c>
      <c r="N71" s="17"/>
      <c r="O71" s="17" t="s">
        <v>23</v>
      </c>
      <c r="P71" s="16" t="s">
        <v>24</v>
      </c>
      <c r="Q71" s="16" t="s">
        <v>25</v>
      </c>
    </row>
    <row r="72" spans="1:19" s="12" customFormat="1" ht="16.5" thickBot="1" x14ac:dyDescent="0.3">
      <c r="A72" s="24">
        <v>6560</v>
      </c>
      <c r="B72" s="22" t="s">
        <v>17</v>
      </c>
      <c r="C72" s="16">
        <v>34.36</v>
      </c>
      <c r="D72" s="16"/>
      <c r="E72" s="16">
        <v>0</v>
      </c>
      <c r="F72" s="16" t="s">
        <v>26</v>
      </c>
      <c r="G72" s="16" t="s">
        <v>19</v>
      </c>
      <c r="H72" s="16">
        <v>10.36</v>
      </c>
      <c r="I72" s="16">
        <v>5.9</v>
      </c>
      <c r="J72" s="16">
        <v>26.6</v>
      </c>
      <c r="K72" s="17" t="s">
        <v>117</v>
      </c>
      <c r="L72" s="17" t="s">
        <v>118</v>
      </c>
      <c r="M72" s="17" t="s">
        <v>119</v>
      </c>
      <c r="N72" s="17"/>
      <c r="O72" s="17" t="s">
        <v>120</v>
      </c>
      <c r="P72" s="16" t="s">
        <v>56</v>
      </c>
      <c r="Q72" s="16" t="s">
        <v>25</v>
      </c>
    </row>
    <row r="73" spans="1:19" ht="16.5" thickBot="1" x14ac:dyDescent="0.3">
      <c r="A73" s="24">
        <v>6583</v>
      </c>
      <c r="B73" s="26" t="s">
        <v>17</v>
      </c>
      <c r="C73" s="27">
        <v>30.54</v>
      </c>
      <c r="D73" s="27"/>
      <c r="E73" s="27">
        <v>0</v>
      </c>
      <c r="F73" s="27" t="s">
        <v>18</v>
      </c>
      <c r="G73" s="27" t="s">
        <v>19</v>
      </c>
      <c r="H73" s="27">
        <v>10.55</v>
      </c>
      <c r="I73" s="27">
        <v>5</v>
      </c>
      <c r="J73" s="27">
        <v>24.8</v>
      </c>
      <c r="K73" s="28" t="s">
        <v>327</v>
      </c>
      <c r="L73" s="28" t="s">
        <v>328</v>
      </c>
      <c r="M73" s="28" t="s">
        <v>329</v>
      </c>
      <c r="N73" s="28" t="s">
        <v>330</v>
      </c>
      <c r="O73" s="28" t="s">
        <v>331</v>
      </c>
      <c r="P73" s="27" t="s">
        <v>32</v>
      </c>
      <c r="Q73" s="27" t="s">
        <v>25</v>
      </c>
      <c r="R73" s="12"/>
      <c r="S73" s="12"/>
    </row>
    <row r="74" spans="1:19" ht="17.100000000000001" customHeight="1" x14ac:dyDescent="0.25">
      <c r="A74" s="2"/>
      <c r="B74" s="2"/>
      <c r="C74" s="2"/>
      <c r="D74" s="2"/>
      <c r="E74" s="2"/>
      <c r="F74" s="2"/>
      <c r="G74" s="2"/>
      <c r="H74" s="2"/>
      <c r="I74" s="2"/>
      <c r="J74" s="2"/>
      <c r="P74" s="2"/>
      <c r="Q74" s="2"/>
    </row>
    <row r="75" spans="1:19" x14ac:dyDescent="0.25">
      <c r="A75" s="4"/>
      <c r="B75" s="2"/>
      <c r="C75" s="2"/>
      <c r="D75" s="2"/>
      <c r="E75" s="2"/>
      <c r="F75" s="2"/>
      <c r="G75" s="2"/>
      <c r="H75" s="2"/>
      <c r="I75" s="2"/>
      <c r="J75" s="2"/>
      <c r="L75" s="7"/>
      <c r="P75" s="2"/>
      <c r="Q75" s="2"/>
    </row>
    <row r="76" spans="1:19" x14ac:dyDescent="0.25">
      <c r="A76" s="2"/>
      <c r="B76" s="2"/>
      <c r="C76" s="2"/>
      <c r="D76" s="2"/>
      <c r="E76" s="2"/>
      <c r="F76" s="2"/>
      <c r="G76" s="2"/>
      <c r="H76" s="2"/>
      <c r="I76" s="2"/>
      <c r="J76" s="2"/>
      <c r="P76" s="2"/>
      <c r="Q76" s="2"/>
    </row>
    <row r="77" spans="1:19" x14ac:dyDescent="0.25">
      <c r="A77" s="5"/>
      <c r="B77" s="5"/>
      <c r="C77" s="5"/>
      <c r="D77" s="3"/>
      <c r="E77" s="5"/>
      <c r="F77" s="5"/>
      <c r="G77" s="5"/>
      <c r="H77" s="5"/>
      <c r="I77" s="5"/>
      <c r="J77" s="5"/>
      <c r="K77" s="6"/>
      <c r="L77" s="6"/>
      <c r="M77" s="6"/>
      <c r="N77" s="6"/>
      <c r="O77" s="6"/>
      <c r="P77" s="3"/>
      <c r="Q77" s="3"/>
    </row>
    <row r="78" spans="1:19" x14ac:dyDescent="0.25">
      <c r="G78" s="2"/>
    </row>
    <row r="79" spans="1:19" x14ac:dyDescent="0.25">
      <c r="G79" s="2"/>
    </row>
    <row r="80" spans="1:19" x14ac:dyDescent="0.25">
      <c r="G80" s="2"/>
    </row>
  </sheetData>
  <mergeCells count="1">
    <mergeCell ref="A1:Q1"/>
  </mergeCells>
  <conditionalFormatting sqref="A14">
    <cfRule type="duplicateValues" dxfId="5" priority="1"/>
  </conditionalFormatting>
  <conditionalFormatting sqref="A74:A1048576 A1:A2">
    <cfRule type="duplicateValues" dxfId="4" priority="4"/>
  </conditionalFormatting>
  <conditionalFormatting sqref="A16:A73 A3:A9 A11:A13">
    <cfRule type="duplicateValues" dxfId="0" priority="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1225-2DC7-5C45-86B2-8BB8F8815FB1}">
  <dimension ref="A1:Q43"/>
  <sheetViews>
    <sheetView zoomScale="110" zoomScaleNormal="110" workbookViewId="0">
      <pane xSplit="1" ySplit="2" topLeftCell="B3" activePane="bottomRight" state="frozen"/>
      <selection pane="topRight" activeCell="B1" sqref="B1"/>
      <selection pane="bottomLeft" activeCell="A3" sqref="A3"/>
      <selection pane="bottomRight" activeCell="A38" sqref="A38:J44"/>
    </sheetView>
  </sheetViews>
  <sheetFormatPr defaultColWidth="11" defaultRowHeight="15.75" x14ac:dyDescent="0.25"/>
  <cols>
    <col min="2" max="2" width="11.375" customWidth="1"/>
    <col min="5" max="5" width="20.375" bestFit="1" customWidth="1"/>
    <col min="7" max="7" width="14.875" bestFit="1" customWidth="1"/>
    <col min="8" max="8" width="12.375" bestFit="1" customWidth="1"/>
    <col min="11" max="11" width="13" customWidth="1"/>
    <col min="12" max="12" width="13.5" customWidth="1"/>
    <col min="13" max="13" width="17.625" customWidth="1"/>
    <col min="15" max="15" width="13.5" customWidth="1"/>
    <col min="16" max="16" width="13.875" customWidth="1"/>
    <col min="17" max="17" width="14.375" customWidth="1"/>
  </cols>
  <sheetData>
    <row r="1" spans="1:17" ht="21.75" thickBot="1" x14ac:dyDescent="0.4">
      <c r="A1" s="32" t="s">
        <v>513</v>
      </c>
      <c r="B1" s="33"/>
      <c r="C1" s="33"/>
      <c r="D1" s="33"/>
      <c r="E1" s="33"/>
      <c r="F1" s="33"/>
      <c r="G1" s="33"/>
      <c r="H1" s="33"/>
      <c r="I1" s="33"/>
      <c r="J1" s="33"/>
      <c r="K1" s="33"/>
      <c r="L1" s="33"/>
      <c r="M1" s="33"/>
      <c r="N1" s="33"/>
      <c r="O1" s="33"/>
      <c r="P1" s="33"/>
      <c r="Q1" s="33"/>
    </row>
    <row r="2" spans="1:17" ht="16.5" thickBot="1"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7" s="12" customFormat="1" ht="16.5" thickBot="1" x14ac:dyDescent="0.3">
      <c r="A3" s="24">
        <v>5000</v>
      </c>
      <c r="B3" s="15" t="s">
        <v>352</v>
      </c>
      <c r="C3" s="20">
        <v>18.760000000000002</v>
      </c>
      <c r="D3" s="20"/>
      <c r="E3" s="20">
        <v>2</v>
      </c>
      <c r="F3" s="20" t="s">
        <v>26</v>
      </c>
      <c r="G3" s="20" t="s">
        <v>19</v>
      </c>
      <c r="H3" s="20">
        <v>0.06</v>
      </c>
      <c r="I3" s="20">
        <v>10.3</v>
      </c>
      <c r="J3" s="20">
        <v>25.03</v>
      </c>
      <c r="K3" s="21" t="s">
        <v>353</v>
      </c>
      <c r="L3" s="21" t="s">
        <v>354</v>
      </c>
      <c r="M3" s="21" t="s">
        <v>355</v>
      </c>
      <c r="N3" s="21"/>
      <c r="O3" s="21" t="s">
        <v>356</v>
      </c>
      <c r="P3" s="20" t="s">
        <v>24</v>
      </c>
      <c r="Q3" s="20" t="s">
        <v>25</v>
      </c>
    </row>
    <row r="4" spans="1:17" s="12" customFormat="1" ht="16.5" thickBot="1" x14ac:dyDescent="0.3">
      <c r="A4" s="24">
        <v>6180</v>
      </c>
      <c r="B4" s="22" t="s">
        <v>403</v>
      </c>
      <c r="C4" s="16">
        <v>27.1</v>
      </c>
      <c r="D4" s="16"/>
      <c r="E4" s="16">
        <v>11</v>
      </c>
      <c r="F4" s="16" t="s">
        <v>18</v>
      </c>
      <c r="G4" s="16" t="s">
        <v>19</v>
      </c>
      <c r="H4" s="16" t="s">
        <v>404</v>
      </c>
      <c r="I4" s="16" t="s">
        <v>146</v>
      </c>
      <c r="J4" s="16">
        <v>25.9</v>
      </c>
      <c r="K4" s="17" t="s">
        <v>405</v>
      </c>
      <c r="L4" s="17" t="s">
        <v>406</v>
      </c>
      <c r="M4" s="17" t="s">
        <v>407</v>
      </c>
      <c r="N4" s="17" t="s">
        <v>408</v>
      </c>
      <c r="O4" s="17" t="s">
        <v>409</v>
      </c>
      <c r="P4" s="16" t="s">
        <v>32</v>
      </c>
      <c r="Q4" s="16" t="s">
        <v>25</v>
      </c>
    </row>
    <row r="5" spans="1:17" s="12" customFormat="1" ht="16.5" thickBot="1" x14ac:dyDescent="0.3">
      <c r="A5" s="24">
        <v>6362</v>
      </c>
      <c r="B5" s="22" t="s">
        <v>374</v>
      </c>
      <c r="C5" s="16">
        <v>24.9</v>
      </c>
      <c r="D5" s="16"/>
      <c r="E5" s="16">
        <v>0</v>
      </c>
      <c r="F5" s="16" t="s">
        <v>18</v>
      </c>
      <c r="G5" s="16" t="s">
        <v>19</v>
      </c>
      <c r="H5" s="16">
        <v>0.38</v>
      </c>
      <c r="I5" s="16">
        <v>10</v>
      </c>
      <c r="J5" s="16">
        <v>28.5</v>
      </c>
      <c r="K5" s="17" t="s">
        <v>410</v>
      </c>
      <c r="L5" s="17" t="s">
        <v>411</v>
      </c>
      <c r="M5" s="17"/>
      <c r="N5" s="17" t="s">
        <v>412</v>
      </c>
      <c r="O5" s="17" t="s">
        <v>413</v>
      </c>
      <c r="P5" s="16" t="s">
        <v>32</v>
      </c>
      <c r="Q5" s="16" t="s">
        <v>25</v>
      </c>
    </row>
    <row r="6" spans="1:17" s="12" customFormat="1" ht="16.5" thickBot="1" x14ac:dyDescent="0.3">
      <c r="A6" s="24">
        <v>6405</v>
      </c>
      <c r="B6" s="22" t="s">
        <v>414</v>
      </c>
      <c r="C6" s="16">
        <v>29.1</v>
      </c>
      <c r="D6" s="16"/>
      <c r="E6" s="16">
        <v>0.6</v>
      </c>
      <c r="F6" s="16" t="s">
        <v>26</v>
      </c>
      <c r="G6" s="16" t="s">
        <v>54</v>
      </c>
      <c r="H6" s="16">
        <v>1.84</v>
      </c>
      <c r="I6" s="16">
        <v>7</v>
      </c>
      <c r="J6" s="16">
        <v>42.5</v>
      </c>
      <c r="K6" s="17" t="s">
        <v>415</v>
      </c>
      <c r="L6" s="17" t="s">
        <v>416</v>
      </c>
      <c r="M6" s="17"/>
      <c r="N6" s="17" t="s">
        <v>417</v>
      </c>
      <c r="O6" s="17" t="s">
        <v>418</v>
      </c>
      <c r="P6" s="16" t="s">
        <v>56</v>
      </c>
      <c r="Q6" s="16" t="s">
        <v>25</v>
      </c>
    </row>
    <row r="7" spans="1:17" s="12" customFormat="1" ht="16.5" thickBot="1" x14ac:dyDescent="0.3">
      <c r="A7" s="24">
        <v>6418</v>
      </c>
      <c r="B7" s="22" t="s">
        <v>380</v>
      </c>
      <c r="C7" s="16">
        <v>26.4</v>
      </c>
      <c r="D7" s="16"/>
      <c r="E7" s="16">
        <v>11</v>
      </c>
      <c r="F7" s="16" t="s">
        <v>18</v>
      </c>
      <c r="G7" s="16" t="s">
        <v>19</v>
      </c>
      <c r="H7" s="16" t="s">
        <v>335</v>
      </c>
      <c r="I7" s="16">
        <v>7.5</v>
      </c>
      <c r="J7" s="16">
        <v>26.4</v>
      </c>
      <c r="K7" s="17" t="s">
        <v>419</v>
      </c>
      <c r="L7" s="17" t="s">
        <v>420</v>
      </c>
      <c r="M7" s="17" t="s">
        <v>407</v>
      </c>
      <c r="N7" s="17" t="s">
        <v>421</v>
      </c>
      <c r="O7" s="17" t="s">
        <v>422</v>
      </c>
      <c r="P7" s="16" t="s">
        <v>24</v>
      </c>
      <c r="Q7" s="16" t="s">
        <v>25</v>
      </c>
    </row>
    <row r="8" spans="1:17" s="12" customFormat="1" ht="16.5" thickBot="1" x14ac:dyDescent="0.3">
      <c r="A8" s="24">
        <v>6422</v>
      </c>
      <c r="B8" s="22" t="s">
        <v>357</v>
      </c>
      <c r="C8" s="16">
        <v>22.8</v>
      </c>
      <c r="D8" s="16"/>
      <c r="E8" s="16">
        <v>21</v>
      </c>
      <c r="F8" s="16" t="s">
        <v>18</v>
      </c>
      <c r="G8" s="16" t="s">
        <v>19</v>
      </c>
      <c r="H8" s="16" t="s">
        <v>335</v>
      </c>
      <c r="I8" s="16">
        <v>7.1</v>
      </c>
      <c r="J8" s="16">
        <v>25.1</v>
      </c>
      <c r="K8" s="17" t="s">
        <v>423</v>
      </c>
      <c r="L8" s="17" t="s">
        <v>424</v>
      </c>
      <c r="M8" s="17" t="s">
        <v>425</v>
      </c>
      <c r="N8" s="17" t="s">
        <v>426</v>
      </c>
      <c r="O8" s="17" t="s">
        <v>427</v>
      </c>
      <c r="P8" s="16" t="s">
        <v>24</v>
      </c>
      <c r="Q8" s="16" t="s">
        <v>25</v>
      </c>
    </row>
    <row r="9" spans="1:17" s="12" customFormat="1" ht="16.5" thickBot="1" x14ac:dyDescent="0.3">
      <c r="A9" s="24">
        <v>6432</v>
      </c>
      <c r="B9" s="22" t="s">
        <v>428</v>
      </c>
      <c r="C9" s="16">
        <v>16.559999999999999</v>
      </c>
      <c r="D9" s="16"/>
      <c r="E9" s="16">
        <v>13</v>
      </c>
      <c r="F9" s="16" t="s">
        <v>26</v>
      </c>
      <c r="G9" s="16" t="s">
        <v>33</v>
      </c>
      <c r="H9" s="16" t="s">
        <v>335</v>
      </c>
      <c r="I9" s="16">
        <v>7.9</v>
      </c>
      <c r="J9" s="16">
        <v>24.19</v>
      </c>
      <c r="K9" s="17" t="s">
        <v>429</v>
      </c>
      <c r="L9" s="17" t="s">
        <v>430</v>
      </c>
      <c r="M9" s="17" t="s">
        <v>407</v>
      </c>
      <c r="N9" s="17" t="s">
        <v>431</v>
      </c>
      <c r="O9" s="17" t="s">
        <v>432</v>
      </c>
      <c r="P9" s="16" t="s">
        <v>433</v>
      </c>
      <c r="Q9" s="16" t="s">
        <v>25</v>
      </c>
    </row>
    <row r="10" spans="1:17" s="12" customFormat="1" ht="16.5" thickBot="1" x14ac:dyDescent="0.3">
      <c r="A10" s="24">
        <v>6435</v>
      </c>
      <c r="B10" s="22" t="s">
        <v>17</v>
      </c>
      <c r="C10" s="16">
        <v>24.75</v>
      </c>
      <c r="D10" s="16"/>
      <c r="E10" s="16">
        <v>14.75</v>
      </c>
      <c r="F10" s="16" t="s">
        <v>26</v>
      </c>
      <c r="G10" s="16" t="s">
        <v>33</v>
      </c>
      <c r="H10" s="16">
        <v>0.09</v>
      </c>
      <c r="I10" s="16">
        <v>11.6</v>
      </c>
      <c r="J10" s="16">
        <v>26.9</v>
      </c>
      <c r="K10" s="17" t="s">
        <v>434</v>
      </c>
      <c r="L10" s="17" t="s">
        <v>435</v>
      </c>
      <c r="M10" s="17"/>
      <c r="N10" s="17" t="s">
        <v>436</v>
      </c>
      <c r="O10" s="17" t="s">
        <v>437</v>
      </c>
      <c r="P10" s="16" t="s">
        <v>24</v>
      </c>
      <c r="Q10" s="16" t="s">
        <v>25</v>
      </c>
    </row>
    <row r="11" spans="1:17" s="12" customFormat="1" ht="16.5" thickBot="1" x14ac:dyDescent="0.3">
      <c r="A11" s="24">
        <v>6436</v>
      </c>
      <c r="B11" s="22" t="s">
        <v>438</v>
      </c>
      <c r="C11" s="16">
        <v>26.33</v>
      </c>
      <c r="D11" s="16"/>
      <c r="E11" s="16">
        <v>3</v>
      </c>
      <c r="F11" s="16" t="s">
        <v>18</v>
      </c>
      <c r="G11" s="16" t="s">
        <v>19</v>
      </c>
      <c r="H11" s="16" t="s">
        <v>335</v>
      </c>
      <c r="I11" s="16">
        <v>9</v>
      </c>
      <c r="J11" s="16">
        <v>30.3</v>
      </c>
      <c r="K11" s="17" t="s">
        <v>439</v>
      </c>
      <c r="L11" s="17" t="s">
        <v>440</v>
      </c>
      <c r="M11" s="17" t="s">
        <v>407</v>
      </c>
      <c r="N11" s="17" t="s">
        <v>441</v>
      </c>
      <c r="O11" s="17" t="s">
        <v>442</v>
      </c>
      <c r="P11" s="16" t="s">
        <v>24</v>
      </c>
      <c r="Q11" s="16" t="s">
        <v>25</v>
      </c>
    </row>
    <row r="12" spans="1:17" s="12" customFormat="1" ht="16.5" thickBot="1" x14ac:dyDescent="0.3">
      <c r="A12" s="24">
        <v>6438</v>
      </c>
      <c r="B12" s="22" t="s">
        <v>374</v>
      </c>
      <c r="C12" s="16">
        <v>39.01</v>
      </c>
      <c r="D12" s="16"/>
      <c r="E12" s="16">
        <v>10</v>
      </c>
      <c r="F12" s="16" t="s">
        <v>26</v>
      </c>
      <c r="G12" s="16" t="s">
        <v>19</v>
      </c>
      <c r="H12" s="16" t="s">
        <v>335</v>
      </c>
      <c r="I12" s="16">
        <v>10.5</v>
      </c>
      <c r="J12" s="16">
        <v>35</v>
      </c>
      <c r="K12" s="17" t="s">
        <v>443</v>
      </c>
      <c r="L12" s="17" t="s">
        <v>444</v>
      </c>
      <c r="M12" s="17"/>
      <c r="N12" s="17" t="s">
        <v>445</v>
      </c>
      <c r="O12" s="17" t="s">
        <v>446</v>
      </c>
      <c r="P12" s="16" t="s">
        <v>24</v>
      </c>
      <c r="Q12" s="16" t="s">
        <v>25</v>
      </c>
    </row>
    <row r="13" spans="1:17" s="12" customFormat="1" ht="16.5" thickBot="1" x14ac:dyDescent="0.3">
      <c r="A13" s="24">
        <v>6441</v>
      </c>
      <c r="B13" s="22" t="s">
        <v>447</v>
      </c>
      <c r="C13" s="16">
        <v>29.17</v>
      </c>
      <c r="D13" s="16"/>
      <c r="E13" s="16">
        <v>5</v>
      </c>
      <c r="F13" s="16" t="s">
        <v>18</v>
      </c>
      <c r="G13" s="16" t="s">
        <v>19</v>
      </c>
      <c r="H13" s="16" t="s">
        <v>335</v>
      </c>
      <c r="I13" s="16">
        <v>14</v>
      </c>
      <c r="J13" s="16">
        <v>16.5</v>
      </c>
      <c r="K13" s="17" t="s">
        <v>448</v>
      </c>
      <c r="L13" s="17" t="s">
        <v>449</v>
      </c>
      <c r="M13" s="17"/>
      <c r="N13" s="17" t="s">
        <v>450</v>
      </c>
      <c r="O13" s="17" t="s">
        <v>451</v>
      </c>
      <c r="P13" s="16" t="s">
        <v>24</v>
      </c>
      <c r="Q13" s="16" t="s">
        <v>25</v>
      </c>
    </row>
    <row r="14" spans="1:17" s="12" customFormat="1" ht="15.95" customHeight="1" thickBot="1" x14ac:dyDescent="0.3">
      <c r="A14" s="24">
        <v>6443</v>
      </c>
      <c r="B14" s="22" t="s">
        <v>452</v>
      </c>
      <c r="C14" s="16">
        <v>16.100000000000001</v>
      </c>
      <c r="D14" s="16"/>
      <c r="E14" s="16">
        <v>9</v>
      </c>
      <c r="F14" s="16" t="s">
        <v>26</v>
      </c>
      <c r="G14" s="16" t="s">
        <v>19</v>
      </c>
      <c r="H14" s="16" t="s">
        <v>335</v>
      </c>
      <c r="I14" s="16">
        <v>7.7</v>
      </c>
      <c r="J14" s="16">
        <v>34.5</v>
      </c>
      <c r="K14" s="17" t="s">
        <v>453</v>
      </c>
      <c r="L14" s="17" t="s">
        <v>454</v>
      </c>
      <c r="M14" s="17" t="s">
        <v>407</v>
      </c>
      <c r="N14" s="17" t="s">
        <v>455</v>
      </c>
      <c r="O14" s="17" t="s">
        <v>456</v>
      </c>
      <c r="P14" s="16" t="s">
        <v>32</v>
      </c>
      <c r="Q14" s="16" t="s">
        <v>25</v>
      </c>
    </row>
    <row r="15" spans="1:17" s="12" customFormat="1" ht="16.5" thickBot="1" x14ac:dyDescent="0.3">
      <c r="A15" s="24">
        <v>6456</v>
      </c>
      <c r="B15" s="22" t="s">
        <v>457</v>
      </c>
      <c r="C15" s="16">
        <v>30.49</v>
      </c>
      <c r="D15" s="16"/>
      <c r="E15" s="16">
        <v>0</v>
      </c>
      <c r="F15" s="16" t="s">
        <v>26</v>
      </c>
      <c r="G15" s="16" t="s">
        <v>33</v>
      </c>
      <c r="H15" s="16">
        <v>10.33</v>
      </c>
      <c r="I15" s="16">
        <v>6.8</v>
      </c>
      <c r="J15" s="16">
        <v>30.1</v>
      </c>
      <c r="K15" s="17" t="s">
        <v>458</v>
      </c>
      <c r="L15" s="17" t="s">
        <v>459</v>
      </c>
      <c r="M15" s="17"/>
      <c r="N15" s="17" t="s">
        <v>460</v>
      </c>
      <c r="O15" s="17" t="s">
        <v>461</v>
      </c>
      <c r="P15" s="16" t="s">
        <v>32</v>
      </c>
      <c r="Q15" s="16" t="s">
        <v>25</v>
      </c>
    </row>
    <row r="16" spans="1:17" s="12" customFormat="1" ht="16.5" thickBot="1" x14ac:dyDescent="0.3">
      <c r="A16" s="24">
        <v>6459</v>
      </c>
      <c r="B16" s="22" t="s">
        <v>452</v>
      </c>
      <c r="C16" s="16">
        <v>20.95</v>
      </c>
      <c r="D16" s="16"/>
      <c r="E16" s="16">
        <v>10</v>
      </c>
      <c r="F16" s="16" t="s">
        <v>26</v>
      </c>
      <c r="G16" s="16" t="s">
        <v>19</v>
      </c>
      <c r="H16" s="16" t="s">
        <v>335</v>
      </c>
      <c r="I16" s="16">
        <v>9.8000000000000007</v>
      </c>
      <c r="J16" s="16">
        <v>36.700000000000003</v>
      </c>
      <c r="K16" s="17" t="s">
        <v>462</v>
      </c>
      <c r="L16" s="17" t="s">
        <v>463</v>
      </c>
      <c r="M16" s="17" t="s">
        <v>407</v>
      </c>
      <c r="N16" s="17" t="s">
        <v>464</v>
      </c>
      <c r="O16" s="17" t="s">
        <v>465</v>
      </c>
      <c r="P16" s="16" t="s">
        <v>24</v>
      </c>
      <c r="Q16" s="16" t="s">
        <v>25</v>
      </c>
    </row>
    <row r="17" spans="1:17" s="12" customFormat="1" ht="16.5" thickBot="1" x14ac:dyDescent="0.3">
      <c r="A17" s="24">
        <v>6466</v>
      </c>
      <c r="B17" s="22" t="s">
        <v>438</v>
      </c>
      <c r="C17" s="16">
        <v>18.260000000000002</v>
      </c>
      <c r="D17" s="16"/>
      <c r="E17" s="16">
        <v>6</v>
      </c>
      <c r="F17" s="16" t="s">
        <v>18</v>
      </c>
      <c r="G17" s="16" t="s">
        <v>19</v>
      </c>
      <c r="H17" s="16" t="s">
        <v>335</v>
      </c>
      <c r="I17" s="16">
        <v>14</v>
      </c>
      <c r="J17" s="16">
        <v>20.2</v>
      </c>
      <c r="K17" s="17" t="s">
        <v>466</v>
      </c>
      <c r="L17" s="17" t="s">
        <v>467</v>
      </c>
      <c r="M17" s="17" t="s">
        <v>407</v>
      </c>
      <c r="N17" s="17" t="s">
        <v>468</v>
      </c>
      <c r="O17" s="17" t="s">
        <v>469</v>
      </c>
      <c r="P17" s="16" t="s">
        <v>470</v>
      </c>
      <c r="Q17" s="16" t="s">
        <v>471</v>
      </c>
    </row>
    <row r="18" spans="1:17" s="12" customFormat="1" ht="16.5" thickBot="1" x14ac:dyDescent="0.3">
      <c r="A18" s="24">
        <v>6473</v>
      </c>
      <c r="B18" s="22" t="s">
        <v>357</v>
      </c>
      <c r="C18" s="16">
        <v>13.21</v>
      </c>
      <c r="D18" s="16"/>
      <c r="E18" s="16">
        <v>6</v>
      </c>
      <c r="F18" s="16" t="s">
        <v>18</v>
      </c>
      <c r="G18" s="16" t="s">
        <v>33</v>
      </c>
      <c r="H18" s="16" t="s">
        <v>335</v>
      </c>
      <c r="I18" s="16">
        <v>12.8</v>
      </c>
      <c r="J18" s="16">
        <v>17.899999999999999</v>
      </c>
      <c r="K18" s="17" t="s">
        <v>472</v>
      </c>
      <c r="L18" s="17" t="s">
        <v>473</v>
      </c>
      <c r="M18" s="17" t="s">
        <v>407</v>
      </c>
      <c r="N18" s="17" t="s">
        <v>474</v>
      </c>
      <c r="O18" s="17" t="s">
        <v>475</v>
      </c>
      <c r="P18" s="16" t="s">
        <v>24</v>
      </c>
      <c r="Q18" s="16" t="s">
        <v>25</v>
      </c>
    </row>
    <row r="19" spans="1:17" s="12" customFormat="1" ht="16.5" thickBot="1" x14ac:dyDescent="0.3">
      <c r="A19" s="24">
        <v>6506</v>
      </c>
      <c r="B19" s="22" t="s">
        <v>452</v>
      </c>
      <c r="C19" s="16">
        <v>28.93</v>
      </c>
      <c r="D19" s="16"/>
      <c r="E19" s="16">
        <v>8</v>
      </c>
      <c r="F19" s="16" t="s">
        <v>18</v>
      </c>
      <c r="G19" s="16" t="s">
        <v>19</v>
      </c>
      <c r="H19" s="16" t="s">
        <v>335</v>
      </c>
      <c r="I19" s="16">
        <v>9.1</v>
      </c>
      <c r="J19" s="16">
        <v>24.6</v>
      </c>
      <c r="K19" s="17" t="s">
        <v>476</v>
      </c>
      <c r="L19" s="17" t="s">
        <v>477</v>
      </c>
      <c r="M19" s="17" t="s">
        <v>478</v>
      </c>
      <c r="N19" s="17" t="s">
        <v>479</v>
      </c>
      <c r="O19" s="17" t="s">
        <v>480</v>
      </c>
      <c r="P19" s="16" t="s">
        <v>24</v>
      </c>
      <c r="Q19" s="16" t="s">
        <v>25</v>
      </c>
    </row>
    <row r="20" spans="1:17" s="12" customFormat="1" ht="15.95" customHeight="1" thickBot="1" x14ac:dyDescent="0.3">
      <c r="A20" s="24">
        <v>6510</v>
      </c>
      <c r="B20" s="22" t="s">
        <v>352</v>
      </c>
      <c r="C20" s="16">
        <v>30.68</v>
      </c>
      <c r="D20" s="16"/>
      <c r="E20" s="16">
        <v>18</v>
      </c>
      <c r="F20" s="16" t="s">
        <v>18</v>
      </c>
      <c r="G20" s="16" t="s">
        <v>33</v>
      </c>
      <c r="H20" s="16" t="s">
        <v>335</v>
      </c>
      <c r="I20" s="16">
        <v>7.9</v>
      </c>
      <c r="J20" s="16">
        <v>27.5</v>
      </c>
      <c r="K20" s="17" t="s">
        <v>481</v>
      </c>
      <c r="L20" s="17" t="s">
        <v>482</v>
      </c>
      <c r="M20" s="17" t="s">
        <v>483</v>
      </c>
      <c r="N20" s="17" t="s">
        <v>484</v>
      </c>
      <c r="O20" s="17" t="s">
        <v>485</v>
      </c>
      <c r="P20" s="16" t="s">
        <v>24</v>
      </c>
      <c r="Q20" s="16" t="s">
        <v>25</v>
      </c>
    </row>
    <row r="21" spans="1:17" s="12" customFormat="1" ht="16.5" thickBot="1" x14ac:dyDescent="0.3">
      <c r="A21" s="24">
        <v>6519</v>
      </c>
      <c r="B21" s="22" t="s">
        <v>438</v>
      </c>
      <c r="C21" s="16">
        <v>14.93</v>
      </c>
      <c r="D21" s="16"/>
      <c r="E21" s="16">
        <v>10</v>
      </c>
      <c r="F21" s="16" t="s">
        <v>18</v>
      </c>
      <c r="G21" s="16" t="s">
        <v>19</v>
      </c>
      <c r="H21" s="16" t="s">
        <v>335</v>
      </c>
      <c r="I21" s="16">
        <v>8.4</v>
      </c>
      <c r="J21" s="16">
        <v>20</v>
      </c>
      <c r="K21" s="17" t="s">
        <v>486</v>
      </c>
      <c r="L21" s="17" t="s">
        <v>487</v>
      </c>
      <c r="M21" s="17" t="s">
        <v>488</v>
      </c>
      <c r="N21" s="17" t="s">
        <v>489</v>
      </c>
      <c r="O21" s="17" t="s">
        <v>490</v>
      </c>
      <c r="P21" s="16" t="s">
        <v>24</v>
      </c>
      <c r="Q21" s="16" t="s">
        <v>25</v>
      </c>
    </row>
    <row r="22" spans="1:17" s="12" customFormat="1" ht="16.5" thickBot="1" x14ac:dyDescent="0.3">
      <c r="A22" s="24">
        <v>6520</v>
      </c>
      <c r="B22" s="22" t="s">
        <v>414</v>
      </c>
      <c r="C22" s="16">
        <v>21.61</v>
      </c>
      <c r="D22" s="16"/>
      <c r="E22" s="16">
        <v>0</v>
      </c>
      <c r="F22" s="16" t="s">
        <v>18</v>
      </c>
      <c r="G22" s="16" t="s">
        <v>19</v>
      </c>
      <c r="H22" s="16">
        <v>0.37</v>
      </c>
      <c r="I22" s="16">
        <v>11.9</v>
      </c>
      <c r="J22" s="16">
        <v>29.3</v>
      </c>
      <c r="K22" s="17" t="s">
        <v>491</v>
      </c>
      <c r="L22" s="17" t="s">
        <v>492</v>
      </c>
      <c r="M22" s="17" t="s">
        <v>134</v>
      </c>
      <c r="N22" s="17" t="s">
        <v>493</v>
      </c>
      <c r="O22" s="17" t="s">
        <v>494</v>
      </c>
      <c r="P22" s="16" t="s">
        <v>56</v>
      </c>
      <c r="Q22" s="16" t="s">
        <v>25</v>
      </c>
    </row>
    <row r="23" spans="1:17" s="12" customFormat="1" ht="16.5" thickBot="1" x14ac:dyDescent="0.3">
      <c r="A23" s="24">
        <v>6523</v>
      </c>
      <c r="B23" s="22" t="s">
        <v>352</v>
      </c>
      <c r="C23" s="16">
        <v>12.17</v>
      </c>
      <c r="D23" s="16"/>
      <c r="E23" s="16">
        <v>3</v>
      </c>
      <c r="F23" s="16" t="s">
        <v>26</v>
      </c>
      <c r="G23" s="16" t="s">
        <v>33</v>
      </c>
      <c r="H23" s="16">
        <v>0.04</v>
      </c>
      <c r="I23" s="16">
        <v>11.1</v>
      </c>
      <c r="J23" s="16">
        <v>22.5</v>
      </c>
      <c r="K23" s="17" t="s">
        <v>358</v>
      </c>
      <c r="L23" s="17" t="s">
        <v>359</v>
      </c>
      <c r="M23" s="17" t="s">
        <v>360</v>
      </c>
      <c r="N23" s="17" t="s">
        <v>361</v>
      </c>
      <c r="O23" s="17"/>
      <c r="P23" s="16" t="s">
        <v>24</v>
      </c>
      <c r="Q23" s="16" t="s">
        <v>25</v>
      </c>
    </row>
    <row r="24" spans="1:17" s="12" customFormat="1" ht="16.5" thickBot="1" x14ac:dyDescent="0.3">
      <c r="A24" s="24">
        <v>6526</v>
      </c>
      <c r="B24" s="22" t="s">
        <v>438</v>
      </c>
      <c r="C24" s="16">
        <v>29.74</v>
      </c>
      <c r="D24" s="16"/>
      <c r="E24" s="16">
        <v>1</v>
      </c>
      <c r="F24" s="16" t="s">
        <v>18</v>
      </c>
      <c r="G24" s="16" t="s">
        <v>54</v>
      </c>
      <c r="H24" s="16">
        <v>7.0000000000000007E-2</v>
      </c>
      <c r="I24" s="16">
        <v>6.6</v>
      </c>
      <c r="J24" s="16">
        <v>23</v>
      </c>
      <c r="K24" s="17" t="s">
        <v>495</v>
      </c>
      <c r="L24" s="17" t="s">
        <v>496</v>
      </c>
      <c r="M24" s="17" t="s">
        <v>488</v>
      </c>
      <c r="N24" s="17" t="s">
        <v>497</v>
      </c>
      <c r="O24" s="17" t="s">
        <v>498</v>
      </c>
      <c r="P24" s="16" t="s">
        <v>24</v>
      </c>
      <c r="Q24" s="16" t="s">
        <v>25</v>
      </c>
    </row>
    <row r="25" spans="1:17" s="12" customFormat="1" ht="16.5" thickBot="1" x14ac:dyDescent="0.3">
      <c r="A25" s="24">
        <v>6529</v>
      </c>
      <c r="B25" s="22" t="s">
        <v>499</v>
      </c>
      <c r="C25" s="16">
        <v>12.02</v>
      </c>
      <c r="D25" s="16"/>
      <c r="E25" s="16">
        <v>7</v>
      </c>
      <c r="F25" s="16" t="s">
        <v>26</v>
      </c>
      <c r="G25" s="16" t="s">
        <v>33</v>
      </c>
      <c r="H25" s="16">
        <v>0.08</v>
      </c>
      <c r="I25" s="16">
        <v>14.1</v>
      </c>
      <c r="J25" s="16">
        <v>22.3</v>
      </c>
      <c r="K25" s="17" t="s">
        <v>500</v>
      </c>
      <c r="L25" s="17" t="s">
        <v>501</v>
      </c>
      <c r="M25" s="17" t="s">
        <v>502</v>
      </c>
      <c r="N25" s="17" t="s">
        <v>503</v>
      </c>
      <c r="O25" s="17" t="s">
        <v>504</v>
      </c>
      <c r="P25" s="16" t="s">
        <v>24</v>
      </c>
      <c r="Q25" s="16" t="s">
        <v>25</v>
      </c>
    </row>
    <row r="26" spans="1:17" s="12" customFormat="1" ht="16.5" thickBot="1" x14ac:dyDescent="0.3">
      <c r="A26" s="24">
        <v>6533</v>
      </c>
      <c r="B26" s="22" t="s">
        <v>362</v>
      </c>
      <c r="C26" s="16">
        <v>3.75</v>
      </c>
      <c r="D26" s="16"/>
      <c r="E26" s="16">
        <v>0</v>
      </c>
      <c r="F26" s="16" t="s">
        <v>26</v>
      </c>
      <c r="G26" s="16" t="s">
        <v>19</v>
      </c>
      <c r="H26" s="16">
        <v>0.17</v>
      </c>
      <c r="I26" s="16">
        <v>11.4</v>
      </c>
      <c r="J26" s="16">
        <v>17.7</v>
      </c>
      <c r="K26" s="17" t="s">
        <v>363</v>
      </c>
      <c r="L26" s="17" t="s">
        <v>364</v>
      </c>
      <c r="M26" s="17" t="s">
        <v>365</v>
      </c>
      <c r="N26" s="17" t="s">
        <v>366</v>
      </c>
      <c r="O26" s="17" t="s">
        <v>367</v>
      </c>
      <c r="P26" s="16" t="s">
        <v>24</v>
      </c>
      <c r="Q26" s="16" t="s">
        <v>25</v>
      </c>
    </row>
    <row r="27" spans="1:17" s="12" customFormat="1" ht="15.95" customHeight="1" thickBot="1" x14ac:dyDescent="0.3">
      <c r="A27" s="24">
        <v>6534</v>
      </c>
      <c r="B27" s="22" t="s">
        <v>368</v>
      </c>
      <c r="C27" s="16">
        <v>4.1900000000000004</v>
      </c>
      <c r="D27" s="16"/>
      <c r="E27" s="16">
        <v>0</v>
      </c>
      <c r="F27" s="16" t="s">
        <v>26</v>
      </c>
      <c r="G27" s="16" t="s">
        <v>19</v>
      </c>
      <c r="H27" s="16">
        <v>0.05</v>
      </c>
      <c r="I27" s="16">
        <v>15.6</v>
      </c>
      <c r="J27" s="16">
        <v>22.6</v>
      </c>
      <c r="K27" s="17" t="s">
        <v>369</v>
      </c>
      <c r="L27" s="17" t="s">
        <v>370</v>
      </c>
      <c r="M27" s="17" t="s">
        <v>371</v>
      </c>
      <c r="N27" s="17" t="s">
        <v>372</v>
      </c>
      <c r="O27" s="17" t="s">
        <v>373</v>
      </c>
      <c r="P27" s="16" t="s">
        <v>24</v>
      </c>
      <c r="Q27" s="16" t="s">
        <v>25</v>
      </c>
    </row>
    <row r="28" spans="1:17" s="12" customFormat="1" ht="16.5" thickBot="1" x14ac:dyDescent="0.3">
      <c r="A28" s="24">
        <v>6536</v>
      </c>
      <c r="B28" s="22" t="s">
        <v>374</v>
      </c>
      <c r="C28" s="16">
        <v>20.16</v>
      </c>
      <c r="D28" s="16"/>
      <c r="E28" s="16">
        <v>4</v>
      </c>
      <c r="F28" s="16" t="s">
        <v>26</v>
      </c>
      <c r="G28" s="16" t="s">
        <v>19</v>
      </c>
      <c r="H28" s="16">
        <v>0.04</v>
      </c>
      <c r="I28" s="16">
        <v>12.7</v>
      </c>
      <c r="J28" s="16">
        <v>25.4</v>
      </c>
      <c r="K28" s="17" t="s">
        <v>375</v>
      </c>
      <c r="L28" s="17" t="s">
        <v>376</v>
      </c>
      <c r="M28" s="17" t="s">
        <v>377</v>
      </c>
      <c r="N28" s="17" t="s">
        <v>378</v>
      </c>
      <c r="O28" s="17" t="s">
        <v>379</v>
      </c>
      <c r="P28" s="16" t="s">
        <v>24</v>
      </c>
      <c r="Q28" s="16" t="s">
        <v>25</v>
      </c>
    </row>
    <row r="29" spans="1:17" s="12" customFormat="1" ht="16.5" thickBot="1" x14ac:dyDescent="0.3">
      <c r="A29" s="24">
        <v>6551</v>
      </c>
      <c r="B29" s="22" t="s">
        <v>380</v>
      </c>
      <c r="C29" s="16">
        <v>20.7</v>
      </c>
      <c r="D29" s="16"/>
      <c r="E29" s="16">
        <v>0.57999999999999996</v>
      </c>
      <c r="F29" s="16" t="s">
        <v>18</v>
      </c>
      <c r="G29" s="16" t="s">
        <v>19</v>
      </c>
      <c r="H29" s="16">
        <v>0.11</v>
      </c>
      <c r="I29" s="16">
        <v>6.4</v>
      </c>
      <c r="J29" s="16">
        <v>23.1</v>
      </c>
      <c r="K29" s="17" t="s">
        <v>381</v>
      </c>
      <c r="L29" s="17" t="s">
        <v>382</v>
      </c>
      <c r="M29" s="17" t="s">
        <v>383</v>
      </c>
      <c r="N29" s="17" t="s">
        <v>384</v>
      </c>
      <c r="O29" s="17" t="s">
        <v>385</v>
      </c>
      <c r="P29" s="16" t="s">
        <v>24</v>
      </c>
      <c r="Q29" s="16" t="s">
        <v>25</v>
      </c>
    </row>
    <row r="30" spans="1:17" s="12" customFormat="1" ht="16.5" thickBot="1" x14ac:dyDescent="0.3">
      <c r="A30" s="24">
        <v>6563</v>
      </c>
      <c r="B30" s="22" t="s">
        <v>397</v>
      </c>
      <c r="C30" s="16">
        <v>14.56</v>
      </c>
      <c r="D30" s="16"/>
      <c r="E30" s="16">
        <v>0</v>
      </c>
      <c r="F30" s="16" t="s">
        <v>26</v>
      </c>
      <c r="G30" s="16" t="s">
        <v>19</v>
      </c>
      <c r="H30" s="16">
        <v>1.04</v>
      </c>
      <c r="I30" s="16">
        <v>9.6</v>
      </c>
      <c r="J30" s="16">
        <v>25.5</v>
      </c>
      <c r="K30" s="17" t="s">
        <v>398</v>
      </c>
      <c r="L30" s="17" t="s">
        <v>399</v>
      </c>
      <c r="M30" s="17" t="s">
        <v>400</v>
      </c>
      <c r="N30" s="17" t="s">
        <v>401</v>
      </c>
      <c r="O30" s="17" t="s">
        <v>402</v>
      </c>
      <c r="P30" s="16" t="s">
        <v>24</v>
      </c>
      <c r="Q30" s="16" t="s">
        <v>25</v>
      </c>
    </row>
    <row r="31" spans="1:17" s="12" customFormat="1" ht="16.5" thickBot="1" x14ac:dyDescent="0.3">
      <c r="A31" s="24">
        <v>6593</v>
      </c>
      <c r="B31" s="22" t="s">
        <v>386</v>
      </c>
      <c r="C31" s="16">
        <v>26.64</v>
      </c>
      <c r="D31" s="16"/>
      <c r="E31" s="16">
        <v>1</v>
      </c>
      <c r="F31" s="16" t="s">
        <v>18</v>
      </c>
      <c r="G31" s="16" t="s">
        <v>19</v>
      </c>
      <c r="H31" s="16">
        <v>0.02</v>
      </c>
      <c r="I31" s="16">
        <v>10.5</v>
      </c>
      <c r="J31" s="16">
        <v>29.5</v>
      </c>
      <c r="K31" s="17" t="s">
        <v>387</v>
      </c>
      <c r="L31" s="17" t="s">
        <v>388</v>
      </c>
      <c r="M31" s="17" t="s">
        <v>389</v>
      </c>
      <c r="N31" s="17" t="s">
        <v>390</v>
      </c>
      <c r="O31" s="17" t="s">
        <v>391</v>
      </c>
      <c r="P31" s="16" t="s">
        <v>24</v>
      </c>
      <c r="Q31" s="16" t="s">
        <v>25</v>
      </c>
    </row>
    <row r="32" spans="1:17" s="12" customFormat="1" ht="16.5" thickBot="1" x14ac:dyDescent="0.3">
      <c r="A32" s="24" t="s">
        <v>505</v>
      </c>
      <c r="B32" s="22" t="s">
        <v>17</v>
      </c>
      <c r="C32" s="16">
        <v>18.93</v>
      </c>
      <c r="D32" s="16"/>
      <c r="E32" s="16">
        <v>5</v>
      </c>
      <c r="F32" s="16" t="s">
        <v>18</v>
      </c>
      <c r="G32" s="16" t="s">
        <v>19</v>
      </c>
      <c r="H32" s="16">
        <v>0.09</v>
      </c>
      <c r="I32" s="16">
        <v>12.5</v>
      </c>
      <c r="J32" s="16">
        <v>21.4</v>
      </c>
      <c r="K32" s="17" t="s">
        <v>506</v>
      </c>
      <c r="L32" s="17" t="s">
        <v>507</v>
      </c>
      <c r="M32" s="17" t="s">
        <v>508</v>
      </c>
      <c r="N32" s="17"/>
      <c r="O32" s="17" t="s">
        <v>509</v>
      </c>
      <c r="P32" s="16" t="s">
        <v>24</v>
      </c>
      <c r="Q32" s="16" t="s">
        <v>25</v>
      </c>
    </row>
    <row r="33" spans="1:17" s="12" customFormat="1" ht="16.5" thickBot="1" x14ac:dyDescent="0.3">
      <c r="A33" s="24" t="s">
        <v>339</v>
      </c>
      <c r="B33" s="22" t="s">
        <v>17</v>
      </c>
      <c r="C33" s="16">
        <v>24.16</v>
      </c>
      <c r="D33" s="16"/>
      <c r="E33" s="16">
        <v>12</v>
      </c>
      <c r="F33" s="16" t="s">
        <v>26</v>
      </c>
      <c r="G33" s="16" t="s">
        <v>19</v>
      </c>
      <c r="H33" s="16" t="s">
        <v>335</v>
      </c>
      <c r="I33" s="16">
        <v>7.6</v>
      </c>
      <c r="J33" s="16">
        <v>20.9</v>
      </c>
      <c r="K33" s="17" t="s">
        <v>340</v>
      </c>
      <c r="L33" s="17" t="s">
        <v>341</v>
      </c>
      <c r="M33" s="17"/>
      <c r="N33" s="17"/>
      <c r="O33" s="17" t="s">
        <v>342</v>
      </c>
      <c r="P33" s="16" t="s">
        <v>24</v>
      </c>
      <c r="Q33" s="16" t="s">
        <v>25</v>
      </c>
    </row>
    <row r="34" spans="1:17" s="12" customFormat="1" ht="16.5" thickBot="1" x14ac:dyDescent="0.3">
      <c r="A34" s="24" t="s">
        <v>343</v>
      </c>
      <c r="B34" s="22" t="s">
        <v>17</v>
      </c>
      <c r="C34" s="16">
        <v>27</v>
      </c>
      <c r="D34" s="16"/>
      <c r="E34" s="16">
        <v>10</v>
      </c>
      <c r="F34" s="16" t="s">
        <v>18</v>
      </c>
      <c r="G34" s="16" t="s">
        <v>54</v>
      </c>
      <c r="H34" s="16" t="s">
        <v>335</v>
      </c>
      <c r="I34" s="16">
        <v>10.199999999999999</v>
      </c>
      <c r="J34" s="16">
        <v>25.03</v>
      </c>
      <c r="K34" s="17" t="s">
        <v>344</v>
      </c>
      <c r="L34" s="17" t="s">
        <v>345</v>
      </c>
      <c r="M34" s="17"/>
      <c r="N34" s="17"/>
      <c r="O34" s="17"/>
      <c r="P34" s="16" t="s">
        <v>24</v>
      </c>
      <c r="Q34" s="16" t="s">
        <v>25</v>
      </c>
    </row>
    <row r="35" spans="1:17" s="12" customFormat="1" ht="16.5" thickBot="1" x14ac:dyDescent="0.3">
      <c r="A35" s="24" t="s">
        <v>333</v>
      </c>
      <c r="B35" s="22" t="s">
        <v>334</v>
      </c>
      <c r="C35" s="16">
        <v>20</v>
      </c>
      <c r="D35" s="16"/>
      <c r="E35" s="16">
        <v>13</v>
      </c>
      <c r="F35" s="16" t="s">
        <v>26</v>
      </c>
      <c r="G35" s="16" t="s">
        <v>19</v>
      </c>
      <c r="H35" s="16" t="s">
        <v>335</v>
      </c>
      <c r="I35" s="16">
        <v>13.9</v>
      </c>
      <c r="J35" s="16">
        <v>30.85</v>
      </c>
      <c r="K35" s="17" t="s">
        <v>336</v>
      </c>
      <c r="L35" s="17" t="s">
        <v>337</v>
      </c>
      <c r="M35" s="17" t="s">
        <v>338</v>
      </c>
      <c r="N35" s="17"/>
      <c r="O35" s="17"/>
      <c r="P35" s="16" t="s">
        <v>24</v>
      </c>
      <c r="Q35" s="16" t="s">
        <v>25</v>
      </c>
    </row>
    <row r="36" spans="1:17" s="12" customFormat="1" ht="16.5" thickBot="1" x14ac:dyDescent="0.3">
      <c r="A36" s="24" t="s">
        <v>346</v>
      </c>
      <c r="B36" s="26" t="s">
        <v>347</v>
      </c>
      <c r="C36" s="27">
        <v>1.21</v>
      </c>
      <c r="D36" s="27"/>
      <c r="E36" s="27">
        <v>0</v>
      </c>
      <c r="F36" s="27" t="s">
        <v>26</v>
      </c>
      <c r="G36" s="27" t="s">
        <v>19</v>
      </c>
      <c r="H36" s="27">
        <v>0.54</v>
      </c>
      <c r="I36" s="27">
        <v>10.4</v>
      </c>
      <c r="J36" s="27">
        <v>20.5</v>
      </c>
      <c r="K36" s="28" t="s">
        <v>348</v>
      </c>
      <c r="L36" s="28" t="s">
        <v>349</v>
      </c>
      <c r="M36" s="28" t="s">
        <v>350</v>
      </c>
      <c r="N36" s="28"/>
      <c r="O36" s="28" t="s">
        <v>351</v>
      </c>
      <c r="P36" s="27" t="s">
        <v>24</v>
      </c>
      <c r="Q36" s="27" t="s">
        <v>25</v>
      </c>
    </row>
    <row r="37" spans="1:17" s="12" customFormat="1" ht="15" customHeight="1" thickBot="1" x14ac:dyDescent="0.3">
      <c r="A37" s="24">
        <v>6528</v>
      </c>
      <c r="B37" s="22" t="s">
        <v>17</v>
      </c>
      <c r="C37" s="16">
        <v>13.76</v>
      </c>
      <c r="D37" s="16"/>
      <c r="E37" s="16">
        <v>0</v>
      </c>
      <c r="F37" s="16" t="s">
        <v>18</v>
      </c>
      <c r="G37" s="16" t="s">
        <v>33</v>
      </c>
      <c r="H37" s="16">
        <v>0.39</v>
      </c>
      <c r="I37" s="16">
        <v>12.3</v>
      </c>
      <c r="J37" s="16">
        <v>24</v>
      </c>
      <c r="K37" s="17" t="s">
        <v>392</v>
      </c>
      <c r="L37" s="17" t="s">
        <v>393</v>
      </c>
      <c r="M37" s="17" t="s">
        <v>394</v>
      </c>
      <c r="N37" s="17" t="s">
        <v>395</v>
      </c>
      <c r="O37" s="17" t="s">
        <v>396</v>
      </c>
      <c r="P37" s="16" t="s">
        <v>24</v>
      </c>
      <c r="Q37" s="16" t="s">
        <v>25</v>
      </c>
    </row>
    <row r="38" spans="1:17" x14ac:dyDescent="0.25">
      <c r="A38" s="13"/>
      <c r="F38" s="13"/>
      <c r="G38" s="2"/>
    </row>
    <row r="39" spans="1:17" x14ac:dyDescent="0.25">
      <c r="F39" s="13"/>
      <c r="G39" s="2"/>
    </row>
    <row r="40" spans="1:17" x14ac:dyDescent="0.25">
      <c r="G40" s="5"/>
    </row>
    <row r="41" spans="1:17" x14ac:dyDescent="0.25">
      <c r="G41" s="2"/>
    </row>
    <row r="42" spans="1:17" x14ac:dyDescent="0.25">
      <c r="G42" s="2"/>
    </row>
    <row r="43" spans="1:17" x14ac:dyDescent="0.25">
      <c r="G43" s="2"/>
    </row>
  </sheetData>
  <mergeCells count="1">
    <mergeCell ref="A1:Q1"/>
  </mergeCells>
  <conditionalFormatting sqref="A1:A2">
    <cfRule type="duplicateValues" dxfId="3" priority="5"/>
  </conditionalFormatting>
  <conditionalFormatting sqref="A3:A14">
    <cfRule type="duplicateValues" dxfId="2" priority="2"/>
  </conditionalFormatting>
  <conditionalFormatting sqref="A37">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Donors</vt:lpstr>
      <vt:lpstr>ND Donors</vt:lpstr>
      <vt:lpstr>T1D Donors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Ward</dc:creator>
  <cp:lastModifiedBy>Henry Thorpe</cp:lastModifiedBy>
  <dcterms:created xsi:type="dcterms:W3CDTF">2025-01-22T17:58:37Z</dcterms:created>
  <dcterms:modified xsi:type="dcterms:W3CDTF">2026-06-03T12:31:10Z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e4b1be8-281e-475d-98b0-21c3457e5a46_Enabled">
    <vt:lpwstr>true</vt:lpwstr>
  </property>
  <property fmtid="{D5CDD505-2E9C-101B-9397-08002B2CF9AE}" pid="3" name="MSIP_Label_5e4b1be8-281e-475d-98b0-21c3457e5a46_SetDate">
    <vt:lpwstr>2026-06-02T21:43:26Z</vt:lpwstr>
  </property>
  <property fmtid="{D5CDD505-2E9C-101B-9397-08002B2CF9AE}" pid="4" name="MSIP_Label_5e4b1be8-281e-475d-98b0-21c3457e5a46_Method">
    <vt:lpwstr>Standard</vt:lpwstr>
  </property>
  <property fmtid="{D5CDD505-2E9C-101B-9397-08002B2CF9AE}" pid="5" name="MSIP_Label_5e4b1be8-281e-475d-98b0-21c3457e5a46_Name">
    <vt:lpwstr>Public</vt:lpwstr>
  </property>
  <property fmtid="{D5CDD505-2E9C-101B-9397-08002B2CF9AE}" pid="6" name="MSIP_Label_5e4b1be8-281e-475d-98b0-21c3457e5a46_SiteId">
    <vt:lpwstr>8b3dd73e-4e72-4679-b191-56da1588712b</vt:lpwstr>
  </property>
  <property fmtid="{D5CDD505-2E9C-101B-9397-08002B2CF9AE}" pid="7" name="MSIP_Label_5e4b1be8-281e-475d-98b0-21c3457e5a46_ActionId">
    <vt:lpwstr>cb8e0de4-56c7-41cf-affd-4c7e1bfdbddc</vt:lpwstr>
  </property>
  <property fmtid="{D5CDD505-2E9C-101B-9397-08002B2CF9AE}" pid="8" name="MSIP_Label_5e4b1be8-281e-475d-98b0-21c3457e5a46_ContentBits">
    <vt:lpwstr>0</vt:lpwstr>
  </property>
  <property fmtid="{D5CDD505-2E9C-101B-9397-08002B2CF9AE}" pid="9" name="MSIP_Label_5e4b1be8-281e-475d-98b0-21c3457e5a46_Tag">
    <vt:lpwstr>50, 3, 0, 1</vt:lpwstr>
  </property>
</Properties>
</file>